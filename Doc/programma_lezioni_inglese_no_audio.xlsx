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ogramma Lezioni" sheetId="1" state="visible" r:id="rId1"/>
    <sheet xmlns:r="http://schemas.openxmlformats.org/officeDocument/2006/relationships" name="Modello Dati" sheetId="2" state="visible" r:id="rId2"/>
    <sheet xmlns:r="http://schemas.openxmlformats.org/officeDocument/2006/relationships" name="Logica Didattica" sheetId="3" state="visible" r:id="rId3"/>
    <sheet xmlns:r="http://schemas.openxmlformats.org/officeDocument/2006/relationships" name="Percorso MVP" sheetId="4" state="visible" r:id="rId4"/>
    <sheet xmlns:r="http://schemas.openxmlformats.org/officeDocument/2006/relationships" name="Roadmap" sheetId="5" state="visible" r:id="rId5"/>
    <sheet xmlns:r="http://schemas.openxmlformats.org/officeDocument/2006/relationships" name="Grammatica" sheetId="6" state="visible" r:id="rId6"/>
    <sheet xmlns:r="http://schemas.openxmlformats.org/officeDocument/2006/relationships" name="Vocabolario" sheetId="7" state="visible" r:id="rId7"/>
    <sheet xmlns:r="http://schemas.openxmlformats.org/officeDocument/2006/relationships" name="Comunicazione" sheetId="8" state="visible" r:id="rId8"/>
    <sheet xmlns:r="http://schemas.openxmlformats.org/officeDocument/2006/relationships" name="Liste" sheetId="9" state="visible" r:id="rId9"/>
    <sheet xmlns:r="http://schemas.openxmlformats.org/officeDocument/2006/relationships" name="Struttura_Lezione" sheetId="10" state="visible" r:id="rId10"/>
    <sheet xmlns:r="http://schemas.openxmlformats.org/officeDocument/2006/relationships" name="Struttura_Quiz" sheetId="11" state="visible" r:id="rId11"/>
    <sheet xmlns:r="http://schemas.openxmlformats.org/officeDocument/2006/relationships" name="struttura_quiz_guidato" sheetId="12" state="visible" r:id="rId12"/>
    <sheet xmlns:r="http://schemas.openxmlformats.org/officeDocument/2006/relationships" name="struttura_quiz_finale" sheetId="13" state="visible" r:id="rId1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1F3864"/>
      <sz val="14"/>
    </font>
    <font>
      <name val="Arial"/>
      <charset val="1"/>
      <family val="2"/>
      <i val="1"/>
      <color rgb="FF595959"/>
      <sz val="10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color rgb="FF1F3864"/>
      <sz val="11"/>
    </font>
    <font>
      <name val="Arial"/>
      <charset val="1"/>
      <family val="2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rgb="FF1F3864"/>
      <sz val="12"/>
    </font>
    <font>
      <name val="Arial"/>
      <charset val="1"/>
      <family val="2"/>
      <b val="1"/>
      <sz val="11"/>
    </font>
    <font>
      <name val="Arial"/>
      <b val="1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1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FFEB9C"/>
        <bgColor rgb="FFFFE699"/>
      </patternFill>
    </fill>
    <fill>
      <patternFill patternType="solid">
        <fgColor rgb="FFFFC7CE"/>
        <bgColor rgb="FFF8CBAD"/>
      </patternFill>
    </fill>
    <fill>
      <patternFill patternType="solid">
        <fgColor rgb="FFA9D08E"/>
        <bgColor rgb="FFBFBFBF"/>
      </patternFill>
    </fill>
    <fill>
      <patternFill patternType="solid">
        <fgColor rgb="FFFFE699"/>
        <bgColor rgb="FFFFEB9C"/>
      </patternFill>
    </fill>
    <fill>
      <patternFill patternType="solid">
        <fgColor rgb="FFF8CBAD"/>
        <bgColor rgb="FFFFC7CE"/>
      </patternFill>
    </fill>
    <fill>
      <patternFill patternType="solid">
        <fgColor rgb="FFD9B3E6"/>
        <bgColor rgb="FFBFBFBF"/>
      </patternFill>
    </fill>
    <fill>
      <patternFill patternType="solid">
        <fgColor rgb="FFF4B084"/>
        <bgColor rgb="FFF8CBAD"/>
      </patternFill>
    </fill>
    <fill>
      <patternFill patternType="solid">
        <fgColor rgb="FFD9D9D9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general" vertical="top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8" fillId="13" borderId="1" applyAlignment="1" pivotButton="0" quotePrefix="0" xfId="0">
      <alignment horizontal="general" vertical="top" wrapText="1"/>
    </xf>
    <xf numFmtId="0" fontId="8" fillId="10" borderId="1" applyAlignment="1" pivotButton="0" quotePrefix="0" xfId="0">
      <alignment horizontal="general" vertical="top" wrapText="1"/>
    </xf>
    <xf numFmtId="0" fontId="8" fillId="14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8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0" fontId="8" fillId="15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general" vertical="top" wrapText="1"/>
    </xf>
    <xf numFmtId="0" fontId="8" fillId="7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top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8" fillId="13" borderId="1" applyAlignment="1" pivotButton="0" quotePrefix="0" xfId="0">
      <alignment horizontal="general" vertical="top" wrapText="1"/>
    </xf>
    <xf numFmtId="0" fontId="8" fillId="10" borderId="1" applyAlignment="1" pivotButton="0" quotePrefix="0" xfId="0">
      <alignment horizontal="general" vertical="top" wrapText="1"/>
    </xf>
    <xf numFmtId="0" fontId="8" fillId="14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8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0" fontId="8" fillId="15" borderId="1" applyAlignment="1" pivotButton="0" quotePrefix="0" xfId="0">
      <alignment horizontal="general" vertical="bottom"/>
    </xf>
    <xf numFmtId="0" fontId="12" fillId="0" borderId="0" pivotButton="0" quotePrefix="0" xfId="0"/>
    <xf numFmtId="0" fontId="13" fillId="0" borderId="0" applyAlignment="1" pivotButton="0" quotePrefix="0" xfId="0">
      <alignment vertical="top" wrapText="1"/>
    </xf>
    <xf numFmtId="0" fontId="14" fillId="16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6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B3E6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4B08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69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C7C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A9D08E"/>
      <rgbColor rgb="FFF4B084"/>
      <rgbColor rgb="FFD9B3E6"/>
      <rgbColor rgb="FFF8CBAD"/>
      <rgbColor rgb="FF3366FF"/>
      <rgbColor rgb="FF33CCCC"/>
      <rgbColor rgb="FF99CC00"/>
      <rgbColor rgb="FFFCE4D6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TabProgramma" displayName="TabProgramma" ref="A4:P102" headerRowCount="1" totalsRowCount="0" totalsRowShown="0">
  <autoFilter ref="A4:P102"/>
  <tableColumns count="16">
    <tableColumn id="1" name="ID Lezione"/>
    <tableColumn id="2" name="Area Didattica"/>
    <tableColumn id="3" name="Tipologia Lezione"/>
    <tableColumn id="4" name="Nome Lezione"/>
    <tableColumn id="5" name="Breve Descrizione"/>
    <tableColumn id="6" name="Livello Linguistico"/>
    <tableColumn id="7" name="Difficoltà"/>
    <tableColumn id="8" name="Ordine nel Percorso"/>
    <tableColumn id="9" name="Prerequisiti"/>
    <tableColumn id="10" name="Obiettivo Didattico"/>
    <tableColumn id="11" name="Competenze Allenate"/>
    <tableColumn id="12" name="Durata Stimata (min)"/>
    <tableColumn id="13" name="Lezione Precedente"/>
    <tableColumn id="14" name="Lezione Successiva"/>
    <tableColumn id="15" name="Errori Tipici degli Italiani"/>
    <tableColumn id="16" name="Stato della Lezione"/>
  </tableColumns>
</table>
</file>

<file path=xl/tables/table2.xml><?xml version="1.0" encoding="utf-8"?>
<table xmlns="http://schemas.openxmlformats.org/spreadsheetml/2006/main" id="2" name="TabMVP" displayName="TabMVP" ref="A4:I32" headerRowCount="1" totalsRowCount="0" totalsRowShown="0">
  <autoFilter ref="A4:I32"/>
  <tableColumns count="9">
    <tableColumn id="1" name="Ordine MVP"/>
    <tableColumn id="2" name="ID Lezione"/>
    <tableColumn id="3" name="Titolo"/>
    <tableColumn id="4" name="Area Didattica"/>
    <tableColumn id="5" name="Livello"/>
    <tableColumn id="6" name="Importanza"/>
    <tableColumn id="7" name="Motivazione della Priorità"/>
    <tableColumn id="8" name="Dipendenze (prerequisiti)"/>
    <tableColumn id="9" name="Durata (min)"/>
  </tableColumns>
</table>
</file>

<file path=xl/tables/table3.xml><?xml version="1.0" encoding="utf-8"?>
<table xmlns="http://schemas.openxmlformats.org/spreadsheetml/2006/main" id="3" name="TabRoadmap" displayName="TabRoadmap" ref="A4:H9" headerRowCount="1" totalsRowCount="0" totalsRowShown="0">
  <autoFilter ref="A4:H9"/>
  <tableColumns count="8">
    <tableColumn id="1" name="Fase"/>
    <tableColumn id="2" name="Obiettivo"/>
    <tableColumn id="3" name="Lezioni da Sviluppare"/>
    <tableColumn id="4" name="Categorie Coinvolte"/>
    <tableColumn id="5" name="Funzionalità Necessarie"/>
    <tableColumn id="6" name="Priorità"/>
    <tableColumn id="7" name="Complessità"/>
    <tableColumn id="8" name="Dipendenze"/>
  </tableColumns>
</table>
</file>

<file path=xl/tables/table4.xml><?xml version="1.0" encoding="utf-8"?>
<table xmlns="http://schemas.openxmlformats.org/spreadsheetml/2006/main" id="4" name="TabLezioniGRA" displayName="TabLezioniGRA" ref="A16:G73" headerRowCount="1" totalsRowCount="0" totalsRowShown="0">
  <autoFilter ref="A16:G73"/>
  <tableColumns count="7">
    <tableColumn id="1" name="ID Lezione"/>
    <tableColumn id="2" name="Tipologia"/>
    <tableColumn id="3" name="Nome Lezione"/>
    <tableColumn id="4" name="Livello"/>
    <tableColumn id="5" name="Difficoltà"/>
    <tableColumn id="6" name="Durata (min)"/>
    <tableColumn id="7" name="Ordine nel Percorso"/>
  </tableColumns>
</table>
</file>

<file path=xl/tables/table5.xml><?xml version="1.0" encoding="utf-8"?>
<table xmlns="http://schemas.openxmlformats.org/spreadsheetml/2006/main" id="5" name="TabStrutturaGRA" displayName="TabStrutturaGRA" ref="A4:E13" headerRowCount="1" totalsRowCount="0" totalsRowShown="0">
  <autoFilter ref="A4:E13"/>
  <tableColumns count="5">
    <tableColumn id="1" name="Ordine"/>
    <tableColumn id="2" name="Sezione della Lezione"/>
    <tableColumn id="3" name="Obiettivo"/>
    <tableColumn id="4" name="Contenuto Previsto"/>
    <tableColumn id="5" name="Formato Web App"/>
  </tableColumns>
</table>
</file>

<file path=xl/tables/table6.xml><?xml version="1.0" encoding="utf-8"?>
<table xmlns="http://schemas.openxmlformats.org/spreadsheetml/2006/main" id="6" name="TabLezioniVOC" displayName="TabLezioniVOC" ref="A14:G31" headerRowCount="1" totalsRowCount="0" totalsRowShown="0">
  <autoFilter ref="A14:G31"/>
  <tableColumns count="7">
    <tableColumn id="1" name="ID Lezione"/>
    <tableColumn id="2" name="Tipologia"/>
    <tableColumn id="3" name="Nome Lezione"/>
    <tableColumn id="4" name="Livello"/>
    <tableColumn id="5" name="Difficoltà"/>
    <tableColumn id="6" name="Durata (min)"/>
    <tableColumn id="7" name="Ordine nel Percorso"/>
  </tableColumns>
</table>
</file>

<file path=xl/tables/table7.xml><?xml version="1.0" encoding="utf-8"?>
<table xmlns="http://schemas.openxmlformats.org/spreadsheetml/2006/main" id="7" name="TabStrutturaVOC" displayName="TabStrutturaVOC" ref="A4:E11" headerRowCount="1" totalsRowCount="0" totalsRowShown="0">
  <autoFilter ref="A4:E11"/>
  <tableColumns count="5">
    <tableColumn id="1" name="Ordine"/>
    <tableColumn id="2" name="Sezione della Lezione"/>
    <tableColumn id="3" name="Obiettivo"/>
    <tableColumn id="4" name="Contenuto Previsto"/>
    <tableColumn id="5" name="Formato Web App"/>
  </tableColumns>
</table>
</file>

<file path=xl/tables/table8.xml><?xml version="1.0" encoding="utf-8"?>
<table xmlns="http://schemas.openxmlformats.org/spreadsheetml/2006/main" id="8" name="TabLezioniCOM" displayName="TabLezioniCOM" ref="A15:G39" headerRowCount="1" totalsRowCount="0" totalsRowShown="0">
  <autoFilter ref="A15:G39"/>
  <tableColumns count="7">
    <tableColumn id="1" name="ID Lezione"/>
    <tableColumn id="2" name="Tipologia"/>
    <tableColumn id="3" name="Nome Lezione"/>
    <tableColumn id="4" name="Livello"/>
    <tableColumn id="5" name="Difficoltà"/>
    <tableColumn id="6" name="Durata (min)"/>
    <tableColumn id="7" name="Ordine nel Percorso"/>
  </tableColumns>
</table>
</file>

<file path=xl/tables/table9.xml><?xml version="1.0" encoding="utf-8"?>
<table xmlns="http://schemas.openxmlformats.org/spreadsheetml/2006/main" id="9" name="TabStrutturaCOM" displayName="TabStrutturaCOM" ref="A4:E12" headerRowCount="1" totalsRowCount="0" totalsRowShown="0">
  <autoFilter ref="A4:E12"/>
  <tableColumns count="5">
    <tableColumn id="1" name="Ordine"/>
    <tableColumn id="2" name="Sezione della Lezione"/>
    <tableColumn id="3" name="Obiettivo"/>
    <tableColumn id="4" name="Contenuto Previsto"/>
    <tableColumn id="5" name="Formato Web App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10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H13" activeCellId="0" sqref="H13"/>
    </sheetView>
  </sheetViews>
  <sheetFormatPr baseColWidth="8" defaultColWidth="8.66796875" defaultRowHeight="15" zeroHeight="0" outlineLevelRow="0"/>
  <cols>
    <col width="13" customWidth="1" style="39" min="1" max="1"/>
    <col width="14" customWidth="1" style="39" min="2" max="2"/>
    <col width="17" customWidth="1" style="39" min="3" max="3"/>
    <col width="36" customWidth="1" style="39" min="4" max="4"/>
    <col width="46" customWidth="1" style="39" min="5" max="5"/>
    <col width="10" customWidth="1" style="39" min="6" max="7"/>
    <col width="9" customWidth="1" style="39" min="8" max="8"/>
    <col width="22" customWidth="1" style="39" min="9" max="9"/>
    <col width="46" customWidth="1" style="39" min="10" max="10"/>
    <col width="20" customWidth="1" style="39" min="11" max="11"/>
    <col width="9" customWidth="1" style="39" min="12" max="12"/>
    <col width="14" customWidth="1" style="39" min="13" max="14"/>
    <col width="52" customWidth="1" style="39" min="15" max="15"/>
    <col width="15" customWidth="1" style="39" min="16" max="16"/>
    <col width="32" customWidth="1" style="40" min="17" max="17"/>
    <col width="16" customWidth="1" style="39" min="18" max="18"/>
    <col width="8" customWidth="1" style="39" min="19" max="19"/>
  </cols>
  <sheetData>
    <row r="1" ht="18" customHeight="1" s="40">
      <c r="A1" s="41" t="inlineStr">
        <is>
          <t>PROGRAMMA LEZIONI — Web App di inglese per italiani (A1 → C1)</t>
        </is>
      </c>
    </row>
    <row r="2" ht="15" customHeight="1" s="40">
      <c r="A2" s="42" t="inlineStr">
        <is>
          <t>Tre aree didattiche: Grammatica, Vocabolario, Comunicazione (Dialogo + Produzione Guidata + Produzione Libera). Ordinare per «Ordine nel Percorso» per il percorso consigliato.</t>
        </is>
      </c>
    </row>
    <row r="4" ht="42" customHeight="1" s="40">
      <c r="A4" s="44" t="inlineStr">
        <is>
          <t>ID Lezione</t>
        </is>
      </c>
      <c r="B4" s="44" t="inlineStr">
        <is>
          <t>Area Didattica</t>
        </is>
      </c>
      <c r="C4" s="44" t="inlineStr">
        <is>
          <t>Tipologia Lezione</t>
        </is>
      </c>
      <c r="D4" s="44" t="inlineStr">
        <is>
          <t>Nome Lezione</t>
        </is>
      </c>
      <c r="E4" s="44" t="inlineStr">
        <is>
          <t>Breve Descrizione</t>
        </is>
      </c>
      <c r="F4" s="44" t="inlineStr">
        <is>
          <t>Livello Linguistico</t>
        </is>
      </c>
      <c r="G4" s="44" t="inlineStr">
        <is>
          <t>Difficoltà</t>
        </is>
      </c>
      <c r="H4" s="44" t="inlineStr">
        <is>
          <t>Ordine nel Percorso</t>
        </is>
      </c>
      <c r="I4" s="44" t="inlineStr">
        <is>
          <t>Prerequisiti</t>
        </is>
      </c>
      <c r="J4" s="44" t="inlineStr">
        <is>
          <t>Obiettivo Didattico</t>
        </is>
      </c>
      <c r="K4" s="44" t="inlineStr">
        <is>
          <t>Competenze Allenate</t>
        </is>
      </c>
      <c r="L4" s="44" t="inlineStr">
        <is>
          <t>Durata Stimata (min)</t>
        </is>
      </c>
      <c r="M4" s="44" t="inlineStr">
        <is>
          <t>Lezione Precedente</t>
        </is>
      </c>
      <c r="N4" s="44" t="inlineStr">
        <is>
          <t>Lezione Successiva</t>
        </is>
      </c>
      <c r="O4" s="44" t="inlineStr">
        <is>
          <t>Errori Tipici degli Italiani</t>
        </is>
      </c>
      <c r="P4" s="44" t="inlineStr">
        <is>
          <t>Stato della Lezione</t>
        </is>
      </c>
      <c r="Q4" s="44" t="inlineStr">
        <is>
          <t>Categoria</t>
        </is>
      </c>
      <c r="R4" s="45" t="inlineStr">
        <is>
          <t>RIEPILOGO</t>
        </is>
      </c>
    </row>
    <row r="5" ht="42" customHeight="1" s="40">
      <c r="A5" s="46" t="inlineStr">
        <is>
          <t>GRA-A1-001</t>
        </is>
      </c>
      <c r="B5" s="47" t="inlineStr">
        <is>
          <t>Grammatica</t>
        </is>
      </c>
      <c r="C5" s="56" t="inlineStr">
        <is>
          <t>Regola ed esercizi</t>
        </is>
      </c>
      <c r="D5" s="56" t="inlineStr">
        <is>
          <t>L'ordine delle parole: Soggetto + Verbo + Oggetto</t>
        </is>
      </c>
      <c r="E5" s="56" t="inlineStr">
        <is>
          <t>Regola spiegata in parole semplici, strutture (affermativa, negativa, interrogativa), esempi con traduzione, confronto con l'italiano ed esercizi progressivi.</t>
        </is>
      </c>
      <c r="F5" s="49" t="inlineStr">
        <is>
          <t>A1</t>
        </is>
      </c>
      <c r="G5" s="49" t="inlineStr">
        <is>
          <t>Bassa</t>
        </is>
      </c>
      <c r="H5" s="46" t="n">
        <v>1</v>
      </c>
      <c r="I5" s="56" t="inlineStr">
        <is>
          <t>Nessuno</t>
        </is>
      </c>
      <c r="J5" s="56" t="inlineStr">
        <is>
          <t>Costruire frasi inglesi rispettando l'ordine fisso SVO e la posizione dell'aggettivo prima del nome.</t>
        </is>
      </c>
      <c r="K5" s="56" t="inlineStr">
        <is>
          <t>Grammatica, Lettura</t>
        </is>
      </c>
      <c r="L5" s="46" t="n">
        <v>12</v>
      </c>
      <c r="M5" s="56" t="inlineStr">
        <is>
          <t>—</t>
        </is>
      </c>
      <c r="N5" s="56" t="inlineStr">
        <is>
          <t>GRA-A1-002</t>
        </is>
      </c>
      <c r="O5" s="56" t="inlineStr">
        <is>
          <t>Frasi senza soggetto («Is late» invece di «It is late»); aggettivo dopo il nome («a car red»).</t>
        </is>
      </c>
      <c r="P5" s="51" t="inlineStr">
        <is>
          <t>Da sviluppare (MVP)</t>
        </is>
      </c>
      <c r="Q5" s="51" t="inlineStr">
        <is>
          <t>Struttura della frase</t>
        </is>
      </c>
      <c r="R5" s="52" t="inlineStr">
        <is>
          <t>Totale lezioni</t>
        </is>
      </c>
      <c r="S5" s="53">
        <f>COUNTA(A5:A102)</f>
        <v/>
      </c>
    </row>
    <row r="6" ht="42" customHeight="1" s="40">
      <c r="A6" s="46" t="inlineStr">
        <is>
          <t>GRA-A1-002</t>
        </is>
      </c>
      <c r="B6" s="47" t="inlineStr">
        <is>
          <t>Grammatica</t>
        </is>
      </c>
      <c r="C6" s="56" t="inlineStr">
        <is>
          <t>Regola ed esercizi</t>
        </is>
      </c>
      <c r="D6" s="56" t="inlineStr">
        <is>
          <t>I pronomi personali: soggetto e complemento</t>
        </is>
      </c>
      <c r="E6" s="56" t="inlineStr">
        <is>
          <t>Regola spiegata in parole semplici, strutture (affermativa, negativa, interrogativa), esempi con traduzione, confronto con l'italiano ed esercizi progressivi.</t>
        </is>
      </c>
      <c r="F6" s="49" t="inlineStr">
        <is>
          <t>A1</t>
        </is>
      </c>
      <c r="G6" s="49" t="inlineStr">
        <is>
          <t>Bassa</t>
        </is>
      </c>
      <c r="H6" s="46" t="n">
        <v>2</v>
      </c>
      <c r="I6" s="56" t="inlineStr">
        <is>
          <t>GRA-A1-001</t>
        </is>
      </c>
      <c r="J6" s="56" t="inlineStr">
        <is>
          <t>Usare correttamente I/you/he/she/it/we/they e me/him/her/us/them, senza mai omettere il soggetto.</t>
        </is>
      </c>
      <c r="K6" s="56" t="inlineStr">
        <is>
          <t>Grammatica, Lettura</t>
        </is>
      </c>
      <c r="L6" s="46" t="n">
        <v>12</v>
      </c>
      <c r="M6" s="56" t="inlineStr">
        <is>
          <t>GRA-A1-001</t>
        </is>
      </c>
      <c r="N6" s="56" t="inlineStr">
        <is>
          <t>GRA-A1-003</t>
        </is>
      </c>
      <c r="O6" s="56" t="inlineStr">
        <is>
          <t>Omettere il soggetto obbligatorio; usare «he/she» per oggetti invece di «it»; «I and my friend» invece di «my friend and I».</t>
        </is>
      </c>
      <c r="P6" s="51" t="inlineStr">
        <is>
          <t>Da sviluppare (MVP)</t>
        </is>
      </c>
      <c r="Q6" s="51" t="inlineStr">
        <is>
          <t>Pronomi</t>
        </is>
      </c>
      <c r="R6" s="52" t="inlineStr">
        <is>
          <t>Grammatica</t>
        </is>
      </c>
      <c r="S6" s="53">
        <f>COUNTIF(B5:B102,"Grammatica")</f>
        <v/>
      </c>
    </row>
    <row r="7" ht="42" customHeight="1" s="40">
      <c r="A7" s="46" t="inlineStr">
        <is>
          <t>GRA-A1-003</t>
        </is>
      </c>
      <c r="B7" s="47" t="inlineStr">
        <is>
          <t>Grammatica</t>
        </is>
      </c>
      <c r="C7" s="56" t="inlineStr">
        <is>
          <t>Regola ed esercizi</t>
        </is>
      </c>
      <c r="D7" s="56" t="inlineStr">
        <is>
          <t>Il verbo to be: forma affermativa</t>
        </is>
      </c>
      <c r="E7" s="56" t="inlineStr">
        <is>
          <t>Regola spiegata in parole semplici, strutture (affermativa, negativa, interrogativa), esempi con traduzione, confronto con l'italiano ed esercizi progressivi.</t>
        </is>
      </c>
      <c r="F7" s="49" t="inlineStr">
        <is>
          <t>A1</t>
        </is>
      </c>
      <c r="G7" s="49" t="inlineStr">
        <is>
          <t>Bassa</t>
        </is>
      </c>
      <c r="H7" s="46" t="n">
        <v>3</v>
      </c>
      <c r="I7" s="56" t="inlineStr">
        <is>
          <t>GRA-A1-002</t>
        </is>
      </c>
      <c r="J7" s="56" t="inlineStr">
        <is>
          <t>Coniugare to be al presente e usarlo per età, nazionalità, professione e stati.</t>
        </is>
      </c>
      <c r="K7" s="56" t="inlineStr">
        <is>
          <t>Grammatica, Lettura</t>
        </is>
      </c>
      <c r="L7" s="46" t="n">
        <v>12</v>
      </c>
      <c r="M7" s="56" t="inlineStr">
        <is>
          <t>GRA-A1-002</t>
        </is>
      </c>
      <c r="N7" s="56" t="inlineStr">
        <is>
          <t>GRA-A1-004</t>
        </is>
      </c>
      <c r="O7" s="56" t="inlineStr">
        <is>
          <t>«I have 25 years» invece di «I am 25»; «I am agree» invece di «I agree».</t>
        </is>
      </c>
      <c r="P7" s="51" t="inlineStr">
        <is>
          <t>Da sviluppare (MVP)</t>
        </is>
      </c>
      <c r="Q7" s="51" t="inlineStr">
        <is>
          <t>Il verbo to be</t>
        </is>
      </c>
      <c r="R7" s="52" t="inlineStr">
        <is>
          <t>Vocabolario</t>
        </is>
      </c>
      <c r="S7" s="53">
        <f>COUNTIF(B5:B102,"Vocabolario")</f>
        <v/>
      </c>
    </row>
    <row r="8" ht="42" customHeight="1" s="40">
      <c r="A8" s="46" t="inlineStr">
        <is>
          <t>GRA-A1-004</t>
        </is>
      </c>
      <c r="B8" s="47" t="inlineStr">
        <is>
          <t>Grammatica</t>
        </is>
      </c>
      <c r="C8" s="56" t="inlineStr">
        <is>
          <t>Regola ed esercizi</t>
        </is>
      </c>
      <c r="D8" s="56" t="inlineStr">
        <is>
          <t>Il verbo to be: negativa e interrogativa</t>
        </is>
      </c>
      <c r="E8" s="56" t="inlineStr">
        <is>
          <t>Regola spiegata in parole semplici, strutture (affermativa, negativa, interrogativa), esempi con traduzione, confronto con l'italiano ed esercizi progressivi.</t>
        </is>
      </c>
      <c r="F8" s="49" t="inlineStr">
        <is>
          <t>A1</t>
        </is>
      </c>
      <c r="G8" s="49" t="inlineStr">
        <is>
          <t>Bassa</t>
        </is>
      </c>
      <c r="H8" s="46" t="n">
        <v>4</v>
      </c>
      <c r="I8" s="56" t="inlineStr">
        <is>
          <t>GRA-A1-003</t>
        </is>
      </c>
      <c r="J8" s="56" t="inlineStr">
        <is>
          <t>Formare negazioni con not e domande con l'inversione soggetto-verbo.</t>
        </is>
      </c>
      <c r="K8" s="56" t="inlineStr">
        <is>
          <t>Grammatica, Lettura</t>
        </is>
      </c>
      <c r="L8" s="46" t="n">
        <v>12</v>
      </c>
      <c r="M8" s="56" t="inlineStr">
        <is>
          <t>GRA-A1-003</t>
        </is>
      </c>
      <c r="N8" s="56" t="inlineStr">
        <is>
          <t>COM-A1-001</t>
        </is>
      </c>
      <c r="O8" s="56" t="inlineStr">
        <is>
          <t>Domande senza inversione («You are tired?»); risposte brevi errate («Yes, I'm»).</t>
        </is>
      </c>
      <c r="P8" s="51" t="inlineStr">
        <is>
          <t>Da sviluppare (MVP)</t>
        </is>
      </c>
      <c r="Q8" s="51" t="inlineStr">
        <is>
          <t>Il verbo to be</t>
        </is>
      </c>
      <c r="R8" s="52" t="inlineStr">
        <is>
          <t>Comunicazione</t>
        </is>
      </c>
      <c r="S8" s="53">
        <f>COUNTIF(B5:B102,"Comunicazione")</f>
        <v/>
      </c>
    </row>
    <row r="9" ht="27.75" customHeight="1" s="40">
      <c r="A9" s="46" t="inlineStr">
        <is>
          <t>COM-A1-001</t>
        </is>
      </c>
      <c r="B9" s="51" t="inlineStr">
        <is>
          <t>Comunicazione</t>
        </is>
      </c>
      <c r="C9" s="56" t="inlineStr">
        <is>
          <t>Dialogo</t>
        </is>
      </c>
      <c r="D9" s="56" t="inlineStr">
        <is>
          <t>Presentarsi e salutare</t>
        </is>
      </c>
      <c r="E9" s="56" t="inlineStr">
        <is>
          <t>Scenario realistico con dialogo modello, espressioni utili, simulazione interattiva a scelte e feedback finale.</t>
        </is>
      </c>
      <c r="F9" s="49" t="inlineStr">
        <is>
          <t>A1</t>
        </is>
      </c>
      <c r="G9" s="49" t="inlineStr">
        <is>
          <t>Bassa</t>
        </is>
      </c>
      <c r="H9" s="46" t="n">
        <v>5</v>
      </c>
      <c r="I9" s="56" t="inlineStr">
        <is>
          <t>GRA-A1-003</t>
        </is>
      </c>
      <c r="J9" s="56" t="inlineStr">
        <is>
          <t>Salutare, presentarsi e fare le prime domande personali in una conversazione reale.</t>
        </is>
      </c>
      <c r="K9" s="56" t="inlineStr">
        <is>
          <t>Speaking, Lettura</t>
        </is>
      </c>
      <c r="L9" s="46" t="n">
        <v>15</v>
      </c>
      <c r="M9" s="56" t="inlineStr">
        <is>
          <t>GRA-A1-004</t>
        </is>
      </c>
      <c r="N9" s="56" t="inlineStr">
        <is>
          <t>VOC-A1-001</t>
        </is>
      </c>
      <c r="O9" s="56" t="inlineStr">
        <is>
          <t>«How do you call yourself?» calco di «come ti chiami»; «I have 30 years».</t>
        </is>
      </c>
      <c r="P9" s="51" t="inlineStr">
        <is>
          <t>Da sviluppare (MVP)</t>
        </is>
      </c>
      <c r="Q9" s="51" t="inlineStr">
        <is>
          <t>Presentarsi e conoscersi</t>
        </is>
      </c>
      <c r="R9" s="52" t="inlineStr">
        <is>
          <t>Livello A1</t>
        </is>
      </c>
      <c r="S9" s="53">
        <f>COUNTIF(F5:F102,"A1")</f>
        <v/>
      </c>
    </row>
    <row r="10" ht="27.75" customHeight="1" s="40">
      <c r="A10" s="46" t="inlineStr">
        <is>
          <t>VOC-A1-001</t>
        </is>
      </c>
      <c r="B10" s="54" t="inlineStr">
        <is>
          <t>Vocabolario</t>
        </is>
      </c>
      <c r="C10" s="56" t="inlineStr">
        <is>
          <t>Lessico tematico</t>
        </is>
      </c>
      <c r="D10" s="56" t="inlineStr">
        <is>
          <t>Numeri, giorni, mesi e orari</t>
        </is>
      </c>
      <c r="E10" s="56" t="inlineStr">
        <is>
          <t>Parole chiave, espressioni in contesto reale, falsi amici ed errori tipici, quiz di consolidamento.</t>
        </is>
      </c>
      <c r="F10" s="49" t="inlineStr">
        <is>
          <t>A1</t>
        </is>
      </c>
      <c r="G10" s="49" t="inlineStr">
        <is>
          <t>Bassa</t>
        </is>
      </c>
      <c r="H10" s="46" t="n">
        <v>6</v>
      </c>
      <c r="I10" s="56" t="inlineStr">
        <is>
          <t>Nessuno</t>
        </is>
      </c>
      <c r="J10" s="56" t="inlineStr">
        <is>
          <t>Dire e capire numeri, date e orari nelle situazioni quotidiane.</t>
        </is>
      </c>
      <c r="K10" s="56" t="inlineStr">
        <is>
          <t>Lessico, Lettura</t>
        </is>
      </c>
      <c r="L10" s="46" t="n">
        <v>10</v>
      </c>
      <c r="M10" s="56" t="inlineStr">
        <is>
          <t>COM-A1-001</t>
        </is>
      </c>
      <c r="N10" s="56" t="inlineStr">
        <is>
          <t>GRA-A1-005</t>
        </is>
      </c>
      <c r="O10" s="56" t="inlineStr">
        <is>
          <t>Confondere thirteen/thirty; formato delle date; «o'clock» usato anche con i minuti.</t>
        </is>
      </c>
      <c r="P10" s="51" t="inlineStr">
        <is>
          <t>Da sviluppare (MVP)</t>
        </is>
      </c>
      <c r="Q10" s="51" t="inlineStr">
        <is>
          <t>Numeri e tempo</t>
        </is>
      </c>
      <c r="R10" s="52" t="inlineStr">
        <is>
          <t>Livello A2</t>
        </is>
      </c>
      <c r="S10" s="53">
        <f>COUNTIF(F5:F102,"A2")</f>
        <v/>
      </c>
    </row>
    <row r="11" ht="42" customHeight="1" s="40">
      <c r="A11" s="46" t="inlineStr">
        <is>
          <t>GRA-A1-005</t>
        </is>
      </c>
      <c r="B11" s="47" t="inlineStr">
        <is>
          <t>Grammatica</t>
        </is>
      </c>
      <c r="C11" s="56" t="inlineStr">
        <is>
          <t>Regola ed esercizi</t>
        </is>
      </c>
      <c r="D11" s="56" t="inlineStr">
        <is>
          <t>Gli articoli a, an e the: le basi</t>
        </is>
      </c>
      <c r="E11" s="56" t="inlineStr">
        <is>
          <t>Regola spiegata in parole semplici, strutture (affermativa, negativa, interrogativa), esempi con traduzione, confronto con l'italiano ed esercizi progressivi.</t>
        </is>
      </c>
      <c r="F11" s="49" t="inlineStr">
        <is>
          <t>A1</t>
        </is>
      </c>
      <c r="G11" s="55" t="inlineStr">
        <is>
          <t>Media</t>
        </is>
      </c>
      <c r="H11" s="46" t="n">
        <v>7</v>
      </c>
      <c r="I11" s="56" t="inlineStr">
        <is>
          <t>GRA-A1-004</t>
        </is>
      </c>
      <c r="J11" s="56" t="inlineStr">
        <is>
          <t>Scegliere tra a/an/the e capire quando l'inglese non usa l'articolo (professioni, nomi propri).</t>
        </is>
      </c>
      <c r="K11" s="56" t="inlineStr">
        <is>
          <t>Grammatica, Lettura</t>
        </is>
      </c>
      <c r="L11" s="46" t="n">
        <v>12</v>
      </c>
      <c r="M11" s="56" t="inlineStr">
        <is>
          <t>VOC-A1-001</t>
        </is>
      </c>
      <c r="N11" s="56" t="inlineStr">
        <is>
          <t>GRA-A1-006</t>
        </is>
      </c>
      <c r="O11" s="56" t="inlineStr">
        <is>
          <t>«The my friend»; omettere a/an con le professioni («I am teacher»); «the» con concetti generali («the life is beautiful»).</t>
        </is>
      </c>
      <c r="P11" s="51" t="inlineStr">
        <is>
          <t>Da sviluppare (MVP)</t>
        </is>
      </c>
      <c r="Q11" s="51" t="inlineStr">
        <is>
          <t>Articoli</t>
        </is>
      </c>
      <c r="R11" s="52" t="inlineStr">
        <is>
          <t>Livello B1</t>
        </is>
      </c>
      <c r="S11" s="53">
        <f>COUNTIF(F5:F102,"B1")</f>
        <v/>
      </c>
    </row>
    <row r="12" ht="42" customHeight="1" s="40">
      <c r="A12" s="46" t="inlineStr">
        <is>
          <t>GRA-A1-006</t>
        </is>
      </c>
      <c r="B12" s="47" t="inlineStr">
        <is>
          <t>Grammatica</t>
        </is>
      </c>
      <c r="C12" s="56" t="inlineStr">
        <is>
          <t>Regola ed esercizi</t>
        </is>
      </c>
      <c r="D12" s="56" t="inlineStr">
        <is>
          <t>Il plurale dei sostantivi (e i plurali irregolari)</t>
        </is>
      </c>
      <c r="E12" s="56" t="inlineStr">
        <is>
          <t>Regola spiegata in parole semplici, strutture (affermativa, negativa, interrogativa), esempi con traduzione, confronto con l'italiano ed esercizi progressivi.</t>
        </is>
      </c>
      <c r="F12" s="49" t="inlineStr">
        <is>
          <t>A1</t>
        </is>
      </c>
      <c r="G12" s="49" t="inlineStr">
        <is>
          <t>Bassa</t>
        </is>
      </c>
      <c r="H12" s="46" t="n">
        <v>8</v>
      </c>
      <c r="I12" s="56" t="inlineStr">
        <is>
          <t>GRA-A1-005</t>
        </is>
      </c>
      <c r="J12" s="56" t="inlineStr">
        <is>
          <t>Formare il plurale regolare e riconoscere i principali irregolari e i nomi non numerabili.</t>
        </is>
      </c>
      <c r="K12" s="56" t="inlineStr">
        <is>
          <t>Grammatica, Lettura</t>
        </is>
      </c>
      <c r="L12" s="46" t="n">
        <v>12</v>
      </c>
      <c r="M12" s="56" t="inlineStr">
        <is>
          <t>GRA-A1-005</t>
        </is>
      </c>
      <c r="N12" s="56" t="inlineStr">
        <is>
          <t>VOC-A1-002</t>
        </is>
      </c>
      <c r="O12" s="56" t="inlineStr">
        <is>
          <t>«Informations», «advices», «peoples»; dimenticare -es dopo -ch/-sh; «two euro» invece di «two euros».</t>
        </is>
      </c>
      <c r="P12" s="51" t="inlineStr">
        <is>
          <t>Da sviluppare (MVP)</t>
        </is>
      </c>
      <c r="Q12" s="51" t="inlineStr">
        <is>
          <t>Sostantivi e plurali</t>
        </is>
      </c>
      <c r="R12" s="52" t="inlineStr">
        <is>
          <t>Livello B2</t>
        </is>
      </c>
      <c r="S12" s="53">
        <f>COUNTIF(F5:F102,"B2")</f>
        <v/>
      </c>
    </row>
    <row r="13" ht="42" customHeight="1" s="40">
      <c r="A13" s="46" t="inlineStr">
        <is>
          <t>VOC-A1-002</t>
        </is>
      </c>
      <c r="B13" s="54" t="inlineStr">
        <is>
          <t>Vocabolario</t>
        </is>
      </c>
      <c r="C13" s="56" t="inlineStr">
        <is>
          <t>Lessico tematico</t>
        </is>
      </c>
      <c r="D13" s="56" t="inlineStr">
        <is>
          <t>Famiglia e descrizione delle persone</t>
        </is>
      </c>
      <c r="E13" s="56" t="inlineStr">
        <is>
          <t>Parole chiave, espressioni in contesto reale, falsi amici ed errori tipici, quiz di consolidamento.</t>
        </is>
      </c>
      <c r="F13" s="49" t="inlineStr">
        <is>
          <t>A1</t>
        </is>
      </c>
      <c r="G13" s="49" t="inlineStr">
        <is>
          <t>Bassa</t>
        </is>
      </c>
      <c r="H13" s="46" t="n">
        <v>9</v>
      </c>
      <c r="I13" s="56" t="inlineStr">
        <is>
          <t>VOC-A1-001</t>
        </is>
      </c>
      <c r="J13" s="56" t="inlineStr">
        <is>
          <t>Presentare la famiglia e descrivere aspetto e carattere delle persone.</t>
        </is>
      </c>
      <c r="K13" s="56" t="inlineStr">
        <is>
          <t>Lessico, Lettura</t>
        </is>
      </c>
      <c r="L13" s="46" t="n">
        <v>10</v>
      </c>
      <c r="M13" s="56" t="inlineStr">
        <is>
          <t>GRA-A1-006</t>
        </is>
      </c>
      <c r="N13" s="56" t="inlineStr">
        <is>
          <t>GRA-A1-007</t>
        </is>
      </c>
      <c r="O13" s="56" t="inlineStr">
        <is>
          <t>«Parents» inteso come «parenti» (relatives); confondere nephew/grandson; «sympathetic» per «simpatico» (nice, friendly).</t>
        </is>
      </c>
      <c r="P13" s="51" t="inlineStr">
        <is>
          <t>Da sviluppare (MVP)</t>
        </is>
      </c>
      <c r="Q13" s="51" t="inlineStr">
        <is>
          <t>Persone e famiglia</t>
        </is>
      </c>
      <c r="R13" s="52" t="inlineStr">
        <is>
          <t>Livello C1</t>
        </is>
      </c>
      <c r="S13" s="53">
        <f>COUNTIF(F5:F102,"C1")</f>
        <v/>
      </c>
    </row>
    <row r="14" ht="42" customHeight="1" s="40">
      <c r="A14" s="46" t="inlineStr">
        <is>
          <t>GRA-A1-007</t>
        </is>
      </c>
      <c r="B14" s="47" t="inlineStr">
        <is>
          <t>Grammatica</t>
        </is>
      </c>
      <c r="C14" s="56" t="inlineStr">
        <is>
          <t>Regola ed esercizi</t>
        </is>
      </c>
      <c r="D14" s="56" t="inlineStr">
        <is>
          <t>Aggettivi possessivi e genitivo sassone</t>
        </is>
      </c>
      <c r="E14" s="56" t="inlineStr">
        <is>
          <t>Regola spiegata in parole semplici, strutture (affermativa, negativa, interrogativa), esempi con traduzione, confronto con l'italiano ed esercizi progressivi.</t>
        </is>
      </c>
      <c r="F14" s="49" t="inlineStr">
        <is>
          <t>A1</t>
        </is>
      </c>
      <c r="G14" s="55" t="inlineStr">
        <is>
          <t>Media</t>
        </is>
      </c>
      <c r="H14" s="46" t="n">
        <v>10</v>
      </c>
      <c r="I14" s="56" t="inlineStr">
        <is>
          <t>GRA-A1-006</t>
        </is>
      </c>
      <c r="J14" s="56" t="inlineStr">
        <is>
          <t>Esprimere il possesso con my/your/his/her e con la struttura 's al posto di «di».</t>
        </is>
      </c>
      <c r="K14" s="56" t="inlineStr">
        <is>
          <t>Grammatica, Lettura</t>
        </is>
      </c>
      <c r="L14" s="46" t="n">
        <v>12</v>
      </c>
      <c r="M14" s="56" t="inlineStr">
        <is>
          <t>VOC-A1-002</t>
        </is>
      </c>
      <c r="N14" s="56" t="inlineStr">
        <is>
          <t>GRA-A1-008</t>
        </is>
      </c>
      <c r="O14" s="56" t="inlineStr">
        <is>
          <t>«The car of my father» invece di «my father's car»; confondere his/her; «its» vs «it's».</t>
        </is>
      </c>
      <c r="P14" s="51" t="inlineStr">
        <is>
          <t>Da sviluppare (MVP)</t>
        </is>
      </c>
      <c r="Q14" s="51" t="inlineStr">
        <is>
          <t>Possesso</t>
        </is>
      </c>
      <c r="R14" s="52" t="inlineStr">
        <is>
          <t>Lezioni MVP</t>
        </is>
      </c>
      <c r="S14" s="53">
        <f>COUNTIF(P5:P102,"Da sviluppare (MVP)")</f>
        <v/>
      </c>
    </row>
    <row r="15" ht="42" customHeight="1" s="40">
      <c r="A15" s="46" t="inlineStr">
        <is>
          <t>GRA-A1-008</t>
        </is>
      </c>
      <c r="B15" s="47" t="inlineStr">
        <is>
          <t>Grammatica</t>
        </is>
      </c>
      <c r="C15" s="56" t="inlineStr">
        <is>
          <t>Regola ed esercizi</t>
        </is>
      </c>
      <c r="D15" s="56" t="inlineStr">
        <is>
          <t>Dimostrativi: this, that, these, those</t>
        </is>
      </c>
      <c r="E15" s="56" t="inlineStr">
        <is>
          <t>Regola spiegata in parole semplici, strutture (affermativa, negativa, interrogativa), esempi con traduzione, confronto con l'italiano ed esercizi progressivi.</t>
        </is>
      </c>
      <c r="F15" s="49" t="inlineStr">
        <is>
          <t>A1</t>
        </is>
      </c>
      <c r="G15" s="49" t="inlineStr">
        <is>
          <t>Bassa</t>
        </is>
      </c>
      <c r="H15" s="46" t="n">
        <v>11</v>
      </c>
      <c r="I15" s="56" t="inlineStr">
        <is>
          <t>GRA-A1-007</t>
        </is>
      </c>
      <c r="J15" s="56" t="inlineStr">
        <is>
          <t>Indicare persone e oggetti vicini o lontani, al singolare e al plurale.</t>
        </is>
      </c>
      <c r="K15" s="56" t="inlineStr">
        <is>
          <t>Grammatica, Lettura</t>
        </is>
      </c>
      <c r="L15" s="46" t="n">
        <v>10</v>
      </c>
      <c r="M15" s="56" t="inlineStr">
        <is>
          <t>GRA-A1-007</t>
        </is>
      </c>
      <c r="N15" s="56" t="inlineStr">
        <is>
          <t>GRA-A1-009</t>
        </is>
      </c>
      <c r="O15" s="56" t="inlineStr">
        <is>
          <t>Usare «this» con nomi plurali; ignorare la distinzione vicino/lontano che l'italiano rende con questo/quello.</t>
        </is>
      </c>
      <c r="P15" s="56" t="inlineStr">
        <is>
          <t>Da sviluppare</t>
        </is>
      </c>
      <c r="Q15" s="56" t="inlineStr">
        <is>
          <t>Dimostrativi</t>
        </is>
      </c>
      <c r="R15" s="52" t="n"/>
      <c r="S15" s="53" t="n"/>
    </row>
    <row r="16" ht="42" customHeight="1" s="40">
      <c r="A16" s="46" t="inlineStr">
        <is>
          <t>GRA-A1-009</t>
        </is>
      </c>
      <c r="B16" s="47" t="inlineStr">
        <is>
          <t>Grammatica</t>
        </is>
      </c>
      <c r="C16" s="56" t="inlineStr">
        <is>
          <t>Regola ed esercizi</t>
        </is>
      </c>
      <c r="D16" s="56" t="inlineStr">
        <is>
          <t>There is e there are</t>
        </is>
      </c>
      <c r="E16" s="56" t="inlineStr">
        <is>
          <t>Regola spiegata in parole semplici, strutture (affermativa, negativa, interrogativa), esempi con traduzione, confronto con l'italiano ed esercizi progressivi.</t>
        </is>
      </c>
      <c r="F16" s="49" t="inlineStr">
        <is>
          <t>A1</t>
        </is>
      </c>
      <c r="G16" s="55" t="inlineStr">
        <is>
          <t>Media</t>
        </is>
      </c>
      <c r="H16" s="46" t="n">
        <v>12</v>
      </c>
      <c r="I16" s="56" t="inlineStr">
        <is>
          <t>GRA-A1-008</t>
        </is>
      </c>
      <c r="J16" s="56" t="inlineStr">
        <is>
          <t>Descrivere l'esistenza di cose e persone («c'è / ci sono») in frasi affermative, negative e interrogative.</t>
        </is>
      </c>
      <c r="K16" s="56" t="inlineStr">
        <is>
          <t>Grammatica, Lettura</t>
        </is>
      </c>
      <c r="L16" s="46" t="n">
        <v>12</v>
      </c>
      <c r="M16" s="56" t="inlineStr">
        <is>
          <t>GRA-A1-008</t>
        </is>
      </c>
      <c r="N16" s="56" t="inlineStr">
        <is>
          <t>VOC-A1-003</t>
        </is>
      </c>
      <c r="O16" s="56" t="inlineStr">
        <is>
          <t>«There is many people»; tradurre «c'è» con «it is»; «In my city have many parks» (calco di «ha»).</t>
        </is>
      </c>
      <c r="P16" s="51" t="inlineStr">
        <is>
          <t>Da sviluppare (MVP)</t>
        </is>
      </c>
      <c r="Q16" s="51" t="inlineStr">
        <is>
          <t>There is / There are</t>
        </is>
      </c>
    </row>
    <row r="17" ht="27.75" customHeight="1" s="40">
      <c r="A17" s="46" t="inlineStr">
        <is>
          <t>VOC-A1-003</t>
        </is>
      </c>
      <c r="B17" s="54" t="inlineStr">
        <is>
          <t>Vocabolario</t>
        </is>
      </c>
      <c r="C17" s="56" t="inlineStr">
        <is>
          <t>Lessico tematico</t>
        </is>
      </c>
      <c r="D17" s="56" t="inlineStr">
        <is>
          <t>Casa e oggetti quotidiani</t>
        </is>
      </c>
      <c r="E17" s="56" t="inlineStr">
        <is>
          <t>Parole chiave, espressioni in contesto reale, falsi amici ed errori tipici, quiz di consolidamento.</t>
        </is>
      </c>
      <c r="F17" s="49" t="inlineStr">
        <is>
          <t>A1</t>
        </is>
      </c>
      <c r="G17" s="49" t="inlineStr">
        <is>
          <t>Bassa</t>
        </is>
      </c>
      <c r="H17" s="46" t="n">
        <v>13</v>
      </c>
      <c r="I17" s="56" t="inlineStr">
        <is>
          <t>VOC-A1-002</t>
        </is>
      </c>
      <c r="J17" s="56" t="inlineStr">
        <is>
          <t>Nominare stanze, mobili e oggetti di uso comune e descriverne la posizione.</t>
        </is>
      </c>
      <c r="K17" s="56" t="inlineStr">
        <is>
          <t>Lessico, Lettura</t>
        </is>
      </c>
      <c r="L17" s="46" t="n">
        <v>10</v>
      </c>
      <c r="M17" s="56" t="inlineStr">
        <is>
          <t>GRA-A1-009</t>
        </is>
      </c>
      <c r="N17" s="56" t="inlineStr">
        <is>
          <t>GRA-A1-010</t>
        </is>
      </c>
      <c r="O17" s="56" t="inlineStr">
        <is>
          <t>«Library» per «libreria» (bookcase/bookshop); preposizioni di posizione errate («in the wall»).</t>
        </is>
      </c>
      <c r="P17" s="51" t="inlineStr">
        <is>
          <t>Da sviluppare (MVP)</t>
        </is>
      </c>
      <c r="Q17" s="51" t="inlineStr">
        <is>
          <t>Casa e oggetti</t>
        </is>
      </c>
    </row>
    <row r="18" ht="42" customHeight="1" s="40">
      <c r="A18" s="46" t="inlineStr">
        <is>
          <t>GRA-A1-010</t>
        </is>
      </c>
      <c r="B18" s="47" t="inlineStr">
        <is>
          <t>Grammatica</t>
        </is>
      </c>
      <c r="C18" s="56" t="inlineStr">
        <is>
          <t>Regola ed esercizi</t>
        </is>
      </c>
      <c r="D18" s="56" t="inlineStr">
        <is>
          <t>Have got per possesso e caratteristiche</t>
        </is>
      </c>
      <c r="E18" s="56" t="inlineStr">
        <is>
          <t>Regola spiegata in parole semplici, strutture (affermativa, negativa, interrogativa), esempi con traduzione, confronto con l'italiano ed esercizi progressivi.</t>
        </is>
      </c>
      <c r="F18" s="49" t="inlineStr">
        <is>
          <t>A1</t>
        </is>
      </c>
      <c r="G18" s="55" t="inlineStr">
        <is>
          <t>Media</t>
        </is>
      </c>
      <c r="H18" s="46" t="n">
        <v>14</v>
      </c>
      <c r="I18" s="56" t="inlineStr">
        <is>
          <t>GRA-A1-009</t>
        </is>
      </c>
      <c r="J18" s="56" t="inlineStr">
        <is>
          <t>Usare have got/has got per possesso, famiglia e aspetto fisico, distinguendolo da have.</t>
        </is>
      </c>
      <c r="K18" s="56" t="inlineStr">
        <is>
          <t>Grammatica, Lettura</t>
        </is>
      </c>
      <c r="L18" s="46" t="n">
        <v>12</v>
      </c>
      <c r="M18" s="56" t="inlineStr">
        <is>
          <t>VOC-A1-003</t>
        </is>
      </c>
      <c r="N18" s="56" t="inlineStr">
        <is>
          <t>GRA-A1-011</t>
        </is>
      </c>
      <c r="O18" s="56" t="inlineStr">
        <is>
          <t>«I have got 20 years» per l'età; mescolare le forme («Do you have got...?»).</t>
        </is>
      </c>
      <c r="P18" s="51" t="inlineStr">
        <is>
          <t>Da sviluppare (MVP)</t>
        </is>
      </c>
      <c r="Q18" s="51" t="inlineStr">
        <is>
          <t>Have got</t>
        </is>
      </c>
    </row>
    <row r="19" ht="27.75" customHeight="1" s="40">
      <c r="A19" s="46" t="inlineStr">
        <is>
          <t>GRA-A1-011</t>
        </is>
      </c>
      <c r="B19" s="47" t="inlineStr">
        <is>
          <t>Grammatica</t>
        </is>
      </c>
      <c r="C19" s="56" t="inlineStr">
        <is>
          <t>Regola ed esercizi</t>
        </is>
      </c>
      <c r="D19" s="56" t="inlineStr">
        <is>
          <t>Present simple: forma affermativa</t>
        </is>
      </c>
      <c r="E19" s="56" t="inlineStr">
        <is>
          <t>Regola spiegata in parole semplici, strutture (affermativa, negativa, interrogativa), esempi con traduzione, confronto con l'italiano ed esercizi progressivi.</t>
        </is>
      </c>
      <c r="F19" s="49" t="inlineStr">
        <is>
          <t>A1</t>
        </is>
      </c>
      <c r="G19" s="55" t="inlineStr">
        <is>
          <t>Media</t>
        </is>
      </c>
      <c r="H19" s="46" t="n">
        <v>15</v>
      </c>
      <c r="I19" s="56" t="inlineStr">
        <is>
          <t>GRA-A1-010</t>
        </is>
      </c>
      <c r="J19" s="56" t="inlineStr">
        <is>
          <t>Parlare di abitudini e fatti generali, con particolare attenzione alla -s della terza persona.</t>
        </is>
      </c>
      <c r="K19" s="56" t="inlineStr">
        <is>
          <t>Grammatica, Lettura</t>
        </is>
      </c>
      <c r="L19" s="46" t="n">
        <v>12</v>
      </c>
      <c r="M19" s="56" t="inlineStr">
        <is>
          <t>GRA-A1-010</t>
        </is>
      </c>
      <c r="N19" s="56" t="inlineStr">
        <is>
          <t>GRA-A1-012</t>
        </is>
      </c>
      <c r="O19" s="56" t="inlineStr">
        <is>
          <t>Dimenticare la -s alla terza persona («She work»); usare il present simple per azioni in corso in questo momento.</t>
        </is>
      </c>
      <c r="P19" s="51" t="inlineStr">
        <is>
          <t>Da sviluppare (MVP)</t>
        </is>
      </c>
      <c r="Q19" s="51" t="inlineStr">
        <is>
          <t>Present simple</t>
        </is>
      </c>
    </row>
    <row r="20" ht="42" customHeight="1" s="40">
      <c r="A20" s="46" t="inlineStr">
        <is>
          <t>GRA-A1-012</t>
        </is>
      </c>
      <c r="B20" s="47" t="inlineStr">
        <is>
          <t>Grammatica</t>
        </is>
      </c>
      <c r="C20" s="56" t="inlineStr">
        <is>
          <t>Regola ed esercizi</t>
        </is>
      </c>
      <c r="D20" s="56" t="inlineStr">
        <is>
          <t>Present simple: negazioni e domande con do/does</t>
        </is>
      </c>
      <c r="E20" s="56" t="inlineStr">
        <is>
          <t>Regola spiegata in parole semplici, strutture (affermativa, negativa, interrogativa), esempi con traduzione, confronto con l'italiano ed esercizi progressivi.</t>
        </is>
      </c>
      <c r="F20" s="49" t="inlineStr">
        <is>
          <t>A1</t>
        </is>
      </c>
      <c r="G20" s="55" t="inlineStr">
        <is>
          <t>Media</t>
        </is>
      </c>
      <c r="H20" s="46" t="n">
        <v>16</v>
      </c>
      <c r="I20" s="56" t="inlineStr">
        <is>
          <t>GRA-A1-011</t>
        </is>
      </c>
      <c r="J20" s="56" t="inlineStr">
        <is>
          <t>Costruire negazioni e domande con gli ausiliari do/does e dare risposte brevi.</t>
        </is>
      </c>
      <c r="K20" s="56" t="inlineStr">
        <is>
          <t>Grammatica, Lettura</t>
        </is>
      </c>
      <c r="L20" s="46" t="n">
        <v>12</v>
      </c>
      <c r="M20" s="56" t="inlineStr">
        <is>
          <t>GRA-A1-011</t>
        </is>
      </c>
      <c r="N20" s="56" t="inlineStr">
        <is>
          <t>GRA-A1-013</t>
        </is>
      </c>
      <c r="O20" s="56" t="inlineStr">
        <is>
          <t>«She doesn't works»; domande senza ausiliare («You like pizza?»); «What means this word?» invece di «What does this word mean?».</t>
        </is>
      </c>
      <c r="P20" s="51" t="inlineStr">
        <is>
          <t>Da sviluppare (MVP)</t>
        </is>
      </c>
      <c r="Q20" s="51" t="inlineStr">
        <is>
          <t>Present simple</t>
        </is>
      </c>
    </row>
    <row r="21" ht="42" customHeight="1" s="40">
      <c r="A21" s="46" t="inlineStr">
        <is>
          <t>GRA-A1-013</t>
        </is>
      </c>
      <c r="B21" s="47" t="inlineStr">
        <is>
          <t>Grammatica</t>
        </is>
      </c>
      <c r="C21" s="56" t="inlineStr">
        <is>
          <t>Regola ed esercizi</t>
        </is>
      </c>
      <c r="D21" s="56" t="inlineStr">
        <is>
          <t>Gli avverbi di frequenza e la loro posizione</t>
        </is>
      </c>
      <c r="E21" s="56" t="inlineStr">
        <is>
          <t>Regola spiegata in parole semplici, strutture (affermativa, negativa, interrogativa), esempi con traduzione, confronto con l'italiano ed esercizi progressivi.</t>
        </is>
      </c>
      <c r="F21" s="49" t="inlineStr">
        <is>
          <t>A1</t>
        </is>
      </c>
      <c r="G21" s="49" t="inlineStr">
        <is>
          <t>Bassa</t>
        </is>
      </c>
      <c r="H21" s="46" t="n">
        <v>17</v>
      </c>
      <c r="I21" s="56" t="inlineStr">
        <is>
          <t>GRA-A1-012</t>
        </is>
      </c>
      <c r="J21" s="56" t="inlineStr">
        <is>
          <t>Usare always, usually, often, sometimes, never nella posizione corretta della frase.</t>
        </is>
      </c>
      <c r="K21" s="56" t="inlineStr">
        <is>
          <t>Grammatica, Lettura</t>
        </is>
      </c>
      <c r="L21" s="46" t="n">
        <v>10</v>
      </c>
      <c r="M21" s="56" t="inlineStr">
        <is>
          <t>GRA-A1-012</t>
        </is>
      </c>
      <c r="N21" s="56" t="inlineStr">
        <is>
          <t>COM-A1-004</t>
        </is>
      </c>
      <c r="O21" s="56" t="inlineStr">
        <is>
          <t>«I go always to the gym» invece di «I always go»; posizione errata con il verbo be.</t>
        </is>
      </c>
      <c r="P21" s="51" t="inlineStr">
        <is>
          <t>Da sviluppare (MVP)</t>
        </is>
      </c>
      <c r="Q21" s="51" t="inlineStr">
        <is>
          <t>Avverbi di frequenza</t>
        </is>
      </c>
    </row>
    <row r="22" ht="42" customHeight="1" s="40">
      <c r="A22" s="46" t="inlineStr">
        <is>
          <t>COM-A1-004</t>
        </is>
      </c>
      <c r="B22" s="51" t="inlineStr">
        <is>
          <t>Comunicazione</t>
        </is>
      </c>
      <c r="C22" s="56" t="inlineStr">
        <is>
          <t>Produzione Guidata</t>
        </is>
      </c>
      <c r="D22" s="56" t="inlineStr">
        <is>
          <t>Parlare di sé: chi sono, cosa faccio</t>
        </is>
      </c>
      <c r="E22" s="56" t="inlineStr">
        <is>
          <t>Modello da imitare, scaletta e frasi utili, attività a completamento e feedback sugli errori tipici.</t>
        </is>
      </c>
      <c r="F22" s="49" t="inlineStr">
        <is>
          <t>A1</t>
        </is>
      </c>
      <c r="G22" s="49" t="inlineStr">
        <is>
          <t>Bassa</t>
        </is>
      </c>
      <c r="H22" s="46" t="n">
        <v>18</v>
      </c>
      <c r="I22" s="56" t="inlineStr">
        <is>
          <t>COM-A1-001, GRA-A1-003</t>
        </is>
      </c>
      <c r="J22" s="56" t="inlineStr">
        <is>
          <t>Produrre una breve presentazione personale guidata, orale e scritta.</t>
        </is>
      </c>
      <c r="K22" s="56" t="inlineStr">
        <is>
          <t>Speaking, Scrittura</t>
        </is>
      </c>
      <c r="L22" s="46" t="n">
        <v>15</v>
      </c>
      <c r="M22" s="56" t="inlineStr">
        <is>
          <t>GRA-A1-013</t>
        </is>
      </c>
      <c r="N22" s="56" t="inlineStr">
        <is>
          <t>GRA-A1-014</t>
        </is>
      </c>
      <c r="O22" s="56" t="inlineStr">
        <is>
          <t>Frasi senza soggetto; «I am born in...»; «I make the engineer» calco di «faccio l'ingegnere».</t>
        </is>
      </c>
      <c r="P22" s="51" t="inlineStr">
        <is>
          <t>Da sviluppare (MVP)</t>
        </is>
      </c>
      <c r="Q22" s="51" t="inlineStr">
        <is>
          <t>Presentarsi e conoscersi</t>
        </is>
      </c>
    </row>
    <row r="23" ht="27.75" customHeight="1" s="40">
      <c r="A23" s="46" t="inlineStr">
        <is>
          <t>GRA-A1-014</t>
        </is>
      </c>
      <c r="B23" s="47" t="inlineStr">
        <is>
          <t>Grammatica</t>
        </is>
      </c>
      <c r="C23" s="56" t="inlineStr">
        <is>
          <t>Regola ed esercizi</t>
        </is>
      </c>
      <c r="D23" s="56" t="inlineStr">
        <is>
          <t>Le question words: who, what, where, when, why, how</t>
        </is>
      </c>
      <c r="E23" s="56" t="inlineStr">
        <is>
          <t>Regola spiegata in parole semplici, strutture (affermativa, negativa, interrogativa), esempi con traduzione, confronto con l'italiano ed esercizi progressivi.</t>
        </is>
      </c>
      <c r="F23" s="49" t="inlineStr">
        <is>
          <t>A1</t>
        </is>
      </c>
      <c r="G23" s="55" t="inlineStr">
        <is>
          <t>Media</t>
        </is>
      </c>
      <c r="H23" s="46" t="n">
        <v>19</v>
      </c>
      <c r="I23" s="56" t="inlineStr">
        <is>
          <t>GRA-A1-013</t>
        </is>
      </c>
      <c r="J23" s="56" t="inlineStr">
        <is>
          <t>Formulare domande aperte con le wh-words e l'ausiliare corretto.</t>
        </is>
      </c>
      <c r="K23" s="56" t="inlineStr">
        <is>
          <t>Grammatica, Lettura</t>
        </is>
      </c>
      <c r="L23" s="46" t="n">
        <v>12</v>
      </c>
      <c r="M23" s="56" t="inlineStr">
        <is>
          <t>COM-A1-004</t>
        </is>
      </c>
      <c r="N23" s="56" t="inlineStr">
        <is>
          <t>GRA-A1-015</t>
        </is>
      </c>
      <c r="O23" s="56" t="inlineStr">
        <is>
          <t>«What you do?» senza ausiliare; «How much time?» invece di «How long?»; confondere «How» e «What... like?».</t>
        </is>
      </c>
      <c r="P23" s="51" t="inlineStr">
        <is>
          <t>Da sviluppare (MVP)</t>
        </is>
      </c>
      <c r="Q23" s="51" t="inlineStr">
        <is>
          <t>Question words</t>
        </is>
      </c>
    </row>
    <row r="24" ht="42" customHeight="1" s="40">
      <c r="A24" s="46" t="inlineStr">
        <is>
          <t>GRA-A1-015</t>
        </is>
      </c>
      <c r="B24" s="47" t="inlineStr">
        <is>
          <t>Grammatica</t>
        </is>
      </c>
      <c r="C24" s="56" t="inlineStr">
        <is>
          <t>Regola ed esercizi</t>
        </is>
      </c>
      <c r="D24" s="56" t="inlineStr">
        <is>
          <t>Can e can't: abilità, permesso e richieste</t>
        </is>
      </c>
      <c r="E24" s="56" t="inlineStr">
        <is>
          <t>Regola spiegata in parole semplici, strutture (affermativa, negativa, interrogativa), esempi con traduzione, confronto con l'italiano ed esercizi progressivi.</t>
        </is>
      </c>
      <c r="F24" s="49" t="inlineStr">
        <is>
          <t>A1</t>
        </is>
      </c>
      <c r="G24" s="49" t="inlineStr">
        <is>
          <t>Bassa</t>
        </is>
      </c>
      <c r="H24" s="46" t="n">
        <v>20</v>
      </c>
      <c r="I24" s="56" t="inlineStr">
        <is>
          <t>GRA-A1-014</t>
        </is>
      </c>
      <c r="J24" s="56" t="inlineStr">
        <is>
          <t>Esprimere capacità, permessi e richieste gentili con can, senza to e senza do.</t>
        </is>
      </c>
      <c r="K24" s="56" t="inlineStr">
        <is>
          <t>Grammatica, Lettura</t>
        </is>
      </c>
      <c r="L24" s="46" t="n">
        <v>10</v>
      </c>
      <c r="M24" s="56" t="inlineStr">
        <is>
          <t>GRA-A1-014</t>
        </is>
      </c>
      <c r="N24" s="56" t="inlineStr">
        <is>
          <t>COM-A1-002</t>
        </is>
      </c>
      <c r="O24" s="56" t="inlineStr">
        <is>
          <t>«I can to swim»; «I don't can»; pronuncia ambigua di can/can't.</t>
        </is>
      </c>
      <c r="P24" s="51" t="inlineStr">
        <is>
          <t>Da sviluppare (MVP)</t>
        </is>
      </c>
      <c r="Q24" s="51" t="inlineStr">
        <is>
          <t>Verbi modali</t>
        </is>
      </c>
    </row>
    <row r="25" ht="42" customHeight="1" s="40">
      <c r="A25" s="46" t="inlineStr">
        <is>
          <t>COM-A1-002</t>
        </is>
      </c>
      <c r="B25" s="51" t="inlineStr">
        <is>
          <t>Comunicazione</t>
        </is>
      </c>
      <c r="C25" s="56" t="inlineStr">
        <is>
          <t>Dialogo</t>
        </is>
      </c>
      <c r="D25" s="56" t="inlineStr">
        <is>
          <t>Al bar: ordinare da bere e da mangiare</t>
        </is>
      </c>
      <c r="E25" s="56" t="inlineStr">
        <is>
          <t>Scenario realistico con dialogo modello, espressioni utili, simulazione interattiva a scelte e feedback finale.</t>
        </is>
      </c>
      <c r="F25" s="49" t="inlineStr">
        <is>
          <t>A1</t>
        </is>
      </c>
      <c r="G25" s="49" t="inlineStr">
        <is>
          <t>Bassa</t>
        </is>
      </c>
      <c r="H25" s="46" t="n">
        <v>21</v>
      </c>
      <c r="I25" s="56" t="inlineStr">
        <is>
          <t>COM-A1-004, GRA-A1-015</t>
        </is>
      </c>
      <c r="J25" s="56" t="inlineStr">
        <is>
          <t>Ordinare al bar, chiedere il prezzo e pagare con formule cortesi.</t>
        </is>
      </c>
      <c r="K25" s="56" t="inlineStr">
        <is>
          <t>Speaking, Lettura</t>
        </is>
      </c>
      <c r="L25" s="46" t="n">
        <v>15</v>
      </c>
      <c r="M25" s="56" t="inlineStr">
        <is>
          <t>GRA-A1-015</t>
        </is>
      </c>
      <c r="N25" s="56" t="inlineStr">
        <is>
          <t>VOC-A1-004</t>
        </is>
      </c>
      <c r="O25" s="56" t="inlineStr">
        <is>
          <t>«I take a coffee» calco di «prendo»; ordinare senza please; «the count» per il conto.</t>
        </is>
      </c>
      <c r="P25" s="51" t="inlineStr">
        <is>
          <t>Da sviluppare (MVP)</t>
        </is>
      </c>
      <c r="Q25" s="51" t="inlineStr">
        <is>
          <t>Mangiare e bere fuori</t>
        </is>
      </c>
    </row>
    <row r="26" ht="27.75" customHeight="1" s="40">
      <c r="A26" s="46" t="inlineStr">
        <is>
          <t>VOC-A1-004</t>
        </is>
      </c>
      <c r="B26" s="54" t="inlineStr">
        <is>
          <t>Vocabolario</t>
        </is>
      </c>
      <c r="C26" s="56" t="inlineStr">
        <is>
          <t>Lessico tematico</t>
        </is>
      </c>
      <c r="D26" s="56" t="inlineStr">
        <is>
          <t>Cibo, bevande e pasti</t>
        </is>
      </c>
      <c r="E26" s="56" t="inlineStr">
        <is>
          <t>Parole chiave, espressioni in contesto reale, falsi amici ed errori tipici, quiz di consolidamento.</t>
        </is>
      </c>
      <c r="F26" s="49" t="inlineStr">
        <is>
          <t>A1</t>
        </is>
      </c>
      <c r="G26" s="49" t="inlineStr">
        <is>
          <t>Bassa</t>
        </is>
      </c>
      <c r="H26" s="46" t="n">
        <v>22</v>
      </c>
      <c r="I26" s="56" t="inlineStr">
        <is>
          <t>VOC-A1-003</t>
        </is>
      </c>
      <c r="J26" s="56" t="inlineStr">
        <is>
          <t>Parlare di cibi, pasti e gusti personali.</t>
        </is>
      </c>
      <c r="K26" s="56" t="inlineStr">
        <is>
          <t>Lessico, Lettura</t>
        </is>
      </c>
      <c r="L26" s="46" t="n">
        <v>10</v>
      </c>
      <c r="M26" s="56" t="inlineStr">
        <is>
          <t>COM-A1-002</t>
        </is>
      </c>
      <c r="N26" s="56" t="inlineStr">
        <is>
          <t>GRA-A1-016</t>
        </is>
      </c>
      <c r="O26" s="56" t="inlineStr">
        <is>
          <t>«Pepperoni» (salame piccante, non peperoni); «have breakfast» reso con «make»; «the count» per «the bill».</t>
        </is>
      </c>
      <c r="P26" s="51" t="inlineStr">
        <is>
          <t>Da sviluppare (MVP)</t>
        </is>
      </c>
      <c r="Q26" s="51" t="inlineStr">
        <is>
          <t>Cibo e ristorazione</t>
        </is>
      </c>
    </row>
    <row r="27" ht="27.75" customHeight="1" s="40">
      <c r="A27" s="46" t="inlineStr">
        <is>
          <t>GRA-A1-016</t>
        </is>
      </c>
      <c r="B27" s="47" t="inlineStr">
        <is>
          <t>Grammatica</t>
        </is>
      </c>
      <c r="C27" s="56" t="inlineStr">
        <is>
          <t>Regola ed esercizi</t>
        </is>
      </c>
      <c r="D27" s="56" t="inlineStr">
        <is>
          <t>Le preposizioni di tempo e luogo: in, on, at</t>
        </is>
      </c>
      <c r="E27" s="56" t="inlineStr">
        <is>
          <t>Regola spiegata in parole semplici, strutture (affermativa, negativa, interrogativa), esempi con traduzione, confronto con l'italiano ed esercizi progressivi.</t>
        </is>
      </c>
      <c r="F27" s="49" t="inlineStr">
        <is>
          <t>A1</t>
        </is>
      </c>
      <c r="G27" s="55" t="inlineStr">
        <is>
          <t>Media</t>
        </is>
      </c>
      <c r="H27" s="46" t="n">
        <v>23</v>
      </c>
      <c r="I27" s="56" t="inlineStr">
        <is>
          <t>GRA-A1-015</t>
        </is>
      </c>
      <c r="J27" s="56" t="inlineStr">
        <is>
          <t>Scegliere la preposizione corretta per giorni, orari, luoghi e mezzi, dove l'italiano usa quasi sempre «a» e «in».</t>
        </is>
      </c>
      <c r="K27" s="56" t="inlineStr">
        <is>
          <t>Grammatica, Lettura</t>
        </is>
      </c>
      <c r="L27" s="46" t="n">
        <v>15</v>
      </c>
      <c r="M27" s="56" t="inlineStr">
        <is>
          <t>VOC-A1-004</t>
        </is>
      </c>
      <c r="N27" s="56" t="inlineStr">
        <is>
          <t>COM-A1-003</t>
        </is>
      </c>
      <c r="O27" s="56" t="inlineStr">
        <is>
          <t>«In Monday», «at the morning», «in the weekend»; «go in bus» invece di «by bus»; «at home» vs «to home».</t>
        </is>
      </c>
      <c r="P27" s="51" t="inlineStr">
        <is>
          <t>Da sviluppare (MVP)</t>
        </is>
      </c>
      <c r="Q27" s="51" t="inlineStr">
        <is>
          <t>Preposizioni</t>
        </is>
      </c>
    </row>
    <row r="28" ht="27.75" customHeight="1" s="40">
      <c r="A28" s="46" t="inlineStr">
        <is>
          <t>COM-A1-003</t>
        </is>
      </c>
      <c r="B28" s="51" t="inlineStr">
        <is>
          <t>Comunicazione</t>
        </is>
      </c>
      <c r="C28" s="56" t="inlineStr">
        <is>
          <t>Dialogo</t>
        </is>
      </c>
      <c r="D28" s="56" t="inlineStr">
        <is>
          <t>In hotel: fare il check-in</t>
        </is>
      </c>
      <c r="E28" s="56" t="inlineStr">
        <is>
          <t>Scenario realistico con dialogo modello, espressioni utili, simulazione interattiva a scelte e feedback finale.</t>
        </is>
      </c>
      <c r="F28" s="49" t="inlineStr">
        <is>
          <t>A1</t>
        </is>
      </c>
      <c r="G28" s="55" t="inlineStr">
        <is>
          <t>Media</t>
        </is>
      </c>
      <c r="H28" s="46" t="n">
        <v>24</v>
      </c>
      <c r="I28" s="56" t="inlineStr">
        <is>
          <t>COM-A1-002, VOC-A1-001</t>
        </is>
      </c>
      <c r="J28" s="56" t="inlineStr">
        <is>
          <t>Gestire l'arrivo in hotel: prenotazione, documenti, informazioni sulla camera.</t>
        </is>
      </c>
      <c r="K28" s="56" t="inlineStr">
        <is>
          <t>Speaking, Lettura</t>
        </is>
      </c>
      <c r="L28" s="46" t="n">
        <v>15</v>
      </c>
      <c r="M28" s="56" t="inlineStr">
        <is>
          <t>GRA-A1-016</t>
        </is>
      </c>
      <c r="N28" s="56" t="inlineStr">
        <is>
          <t>GRA-A1-017</t>
        </is>
      </c>
      <c r="O28" s="56" t="inlineStr">
        <is>
          <t>«Prenotation» (inesistente, si dice reservation/booking); fare lo spelling del nome all'italiana.</t>
        </is>
      </c>
      <c r="P28" s="51" t="inlineStr">
        <is>
          <t>Da sviluppare (MVP)</t>
        </is>
      </c>
      <c r="Q28" s="51" t="inlineStr">
        <is>
          <t>Viaggi e alloggio</t>
        </is>
      </c>
    </row>
    <row r="29" ht="42" customHeight="1" s="40">
      <c r="A29" s="46" t="inlineStr">
        <is>
          <t>GRA-A1-017</t>
        </is>
      </c>
      <c r="B29" s="47" t="inlineStr">
        <is>
          <t>Grammatica</t>
        </is>
      </c>
      <c r="C29" s="56" t="inlineStr">
        <is>
          <t>Regola ed esercizi</t>
        </is>
      </c>
      <c r="D29" s="56" t="inlineStr">
        <is>
          <t>Present continuous: azioni in corso</t>
        </is>
      </c>
      <c r="E29" s="56" t="inlineStr">
        <is>
          <t>Regola spiegata in parole semplici, strutture (affermativa, negativa, interrogativa), esempi con traduzione, confronto con l'italiano ed esercizi progressivi.</t>
        </is>
      </c>
      <c r="F29" s="49" t="inlineStr">
        <is>
          <t>A1</t>
        </is>
      </c>
      <c r="G29" s="55" t="inlineStr">
        <is>
          <t>Media</t>
        </is>
      </c>
      <c r="H29" s="46" t="n">
        <v>25</v>
      </c>
      <c r="I29" s="56" t="inlineStr">
        <is>
          <t>GRA-A1-016</t>
        </is>
      </c>
      <c r="J29" s="56" t="inlineStr">
        <is>
          <t>Descrivere azioni in svolgimento con be + verbo in -ing, forma assente in molti usi dell'italiano.</t>
        </is>
      </c>
      <c r="K29" s="56" t="inlineStr">
        <is>
          <t>Grammatica, Lettura</t>
        </is>
      </c>
      <c r="L29" s="46" t="n">
        <v>12</v>
      </c>
      <c r="M29" s="56" t="inlineStr">
        <is>
          <t>COM-A1-003</t>
        </is>
      </c>
      <c r="N29" s="56" t="inlineStr">
        <is>
          <t>GRA-A1-018</t>
        </is>
      </c>
      <c r="O29" s="56" t="inlineStr">
        <is>
          <t>«I study now» invece di «I am studying»; omettere be («He playing»); usare verbi di stato in -ing («I am knowing»).</t>
        </is>
      </c>
      <c r="P29" s="51" t="inlineStr">
        <is>
          <t>Da sviluppare (MVP)</t>
        </is>
      </c>
      <c r="Q29" s="51" t="inlineStr">
        <is>
          <t>Present continuous</t>
        </is>
      </c>
    </row>
    <row r="30" ht="27.75" customHeight="1" s="40">
      <c r="A30" s="46" t="inlineStr">
        <is>
          <t>GRA-A1-018</t>
        </is>
      </c>
      <c r="B30" s="47" t="inlineStr">
        <is>
          <t>Grammatica</t>
        </is>
      </c>
      <c r="C30" s="56" t="inlineStr">
        <is>
          <t>Regola ed esercizi</t>
        </is>
      </c>
      <c r="D30" s="56" t="inlineStr">
        <is>
          <t>Present simple o present continuous?</t>
        </is>
      </c>
      <c r="E30" s="56" t="inlineStr">
        <is>
          <t>Regola spiegata in parole semplici, strutture (affermativa, negativa, interrogativa), esempi con traduzione, confronto con l'italiano ed esercizi progressivi.</t>
        </is>
      </c>
      <c r="F30" s="49" t="inlineStr">
        <is>
          <t>A1</t>
        </is>
      </c>
      <c r="G30" s="57" t="inlineStr">
        <is>
          <t>Alta</t>
        </is>
      </c>
      <c r="H30" s="46" t="n">
        <v>26</v>
      </c>
      <c r="I30" s="56" t="inlineStr">
        <is>
          <t>GRA-A1-017, GRA-A1-011</t>
        </is>
      </c>
      <c r="J30" s="56" t="inlineStr">
        <is>
          <t>Distinguere abitudini e azioni in corso, scelta che in italiano è coperta da un unico presente.</t>
        </is>
      </c>
      <c r="K30" s="56" t="inlineStr">
        <is>
          <t>Grammatica, Lettura</t>
        </is>
      </c>
      <c r="L30" s="46" t="n">
        <v>15</v>
      </c>
      <c r="M30" s="56" t="inlineStr">
        <is>
          <t>GRA-A1-017</t>
        </is>
      </c>
      <c r="N30" s="56" t="inlineStr">
        <is>
          <t>COM-A1-005</t>
        </is>
      </c>
      <c r="O30" s="56" t="inlineStr">
        <is>
          <t>Usare il present simple per azioni in corso («I work now»); «I am working every day» per abitudini.</t>
        </is>
      </c>
      <c r="P30" s="51" t="inlineStr">
        <is>
          <t>Da sviluppare (MVP)</t>
        </is>
      </c>
      <c r="Q30" s="51" t="inlineStr">
        <is>
          <t>Present continuous</t>
        </is>
      </c>
    </row>
    <row r="31" ht="42" customHeight="1" s="40">
      <c r="A31" s="46" t="inlineStr">
        <is>
          <t>COM-A1-005</t>
        </is>
      </c>
      <c r="B31" s="51" t="inlineStr">
        <is>
          <t>Comunicazione</t>
        </is>
      </c>
      <c r="C31" s="56" t="inlineStr">
        <is>
          <t>Produzione Guidata</t>
        </is>
      </c>
      <c r="D31" s="56" t="inlineStr">
        <is>
          <t>Descrivere la propria routine quotidiana</t>
        </is>
      </c>
      <c r="E31" s="56" t="inlineStr">
        <is>
          <t>Modello da imitare, scaletta e frasi utili, attività a completamento e feedback sugli errori tipici.</t>
        </is>
      </c>
      <c r="F31" s="49" t="inlineStr">
        <is>
          <t>A1</t>
        </is>
      </c>
      <c r="G31" s="55" t="inlineStr">
        <is>
          <t>Media</t>
        </is>
      </c>
      <c r="H31" s="46" t="n">
        <v>27</v>
      </c>
      <c r="I31" s="56" t="inlineStr">
        <is>
          <t>COM-A1-003, GRA-A1-011, GRA-A1-013</t>
        </is>
      </c>
      <c r="J31" s="56" t="inlineStr">
        <is>
          <t>Raccontare la giornata tipo usando il present simple e gli avverbi di frequenza.</t>
        </is>
      </c>
      <c r="K31" s="56" t="inlineStr">
        <is>
          <t>Speaking, Scrittura</t>
        </is>
      </c>
      <c r="L31" s="46" t="n">
        <v>15</v>
      </c>
      <c r="M31" s="56" t="inlineStr">
        <is>
          <t>GRA-A1-018</t>
        </is>
      </c>
      <c r="N31" s="56" t="inlineStr">
        <is>
          <t>VOC-A1-005</t>
        </is>
      </c>
      <c r="O31" s="56" t="inlineStr">
        <is>
          <t>«She wake up» senza -s; «I make breakfast» invece di «have breakfast»; orari con preposizioni errate.</t>
        </is>
      </c>
      <c r="P31" s="51" t="inlineStr">
        <is>
          <t>Da sviluppare (MVP)</t>
        </is>
      </c>
      <c r="Q31" s="51" t="inlineStr">
        <is>
          <t>Vita quotidiana</t>
        </is>
      </c>
    </row>
    <row r="32" ht="42" customHeight="1" s="40">
      <c r="A32" s="46" t="inlineStr">
        <is>
          <t>VOC-A1-005</t>
        </is>
      </c>
      <c r="B32" s="54" t="inlineStr">
        <is>
          <t>Vocabolario</t>
        </is>
      </c>
      <c r="C32" s="56" t="inlineStr">
        <is>
          <t>Lessico tematico</t>
        </is>
      </c>
      <c r="D32" s="56" t="inlineStr">
        <is>
          <t>Falsi amici essenziali</t>
        </is>
      </c>
      <c r="E32" s="56" t="inlineStr">
        <is>
          <t>Parole chiave, espressioni in contesto reale, falsi amici ed errori tipici, quiz di consolidamento.</t>
        </is>
      </c>
      <c r="F32" s="49" t="inlineStr">
        <is>
          <t>A1</t>
        </is>
      </c>
      <c r="G32" s="55" t="inlineStr">
        <is>
          <t>Media</t>
        </is>
      </c>
      <c r="H32" s="46" t="n">
        <v>28</v>
      </c>
      <c r="I32" s="56" t="inlineStr">
        <is>
          <t>VOC-A1-004</t>
        </is>
      </c>
      <c r="J32" s="56" t="inlineStr">
        <is>
          <t>Riconoscere i falsi amici più pericolosi tra inglese e italiano fin dal livello base.</t>
        </is>
      </c>
      <c r="K32" s="56" t="inlineStr">
        <is>
          <t>Lessico, Lettura</t>
        </is>
      </c>
      <c r="L32" s="46" t="n">
        <v>12</v>
      </c>
      <c r="M32" s="56" t="inlineStr">
        <is>
          <t>COM-A1-005</t>
        </is>
      </c>
      <c r="N32" s="56" t="inlineStr">
        <is>
          <t>GRA-A2-001</t>
        </is>
      </c>
      <c r="O32" s="56" t="inlineStr">
        <is>
          <t>Actually≠attualmente; eventually≠eventualmente; sensible≠sensibile; factory≠fattoria; argument≠argomento; camera≠camera.</t>
        </is>
      </c>
      <c r="P32" s="51" t="inlineStr">
        <is>
          <t>Da sviluppare (MVP)</t>
        </is>
      </c>
      <c r="Q32" s="51" t="inlineStr">
        <is>
          <t>Falsi amici</t>
        </is>
      </c>
    </row>
    <row r="33" ht="27.75" customHeight="1" s="40">
      <c r="A33" s="46" t="inlineStr">
        <is>
          <t>GRA-A2-001</t>
        </is>
      </c>
      <c r="B33" s="47" t="inlineStr">
        <is>
          <t>Grammatica</t>
        </is>
      </c>
      <c r="C33" s="56" t="inlineStr">
        <is>
          <t>Regola ed esercizi</t>
        </is>
      </c>
      <c r="D33" s="56" t="inlineStr">
        <is>
          <t>Past simple del verbo to be</t>
        </is>
      </c>
      <c r="E33" s="56" t="inlineStr">
        <is>
          <t>Regola spiegata in parole semplici, strutture (affermativa, negativa, interrogativa), esempi con traduzione, confronto con l'italiano ed esercizi progressivi.</t>
        </is>
      </c>
      <c r="F33" s="58" t="inlineStr">
        <is>
          <t>A2</t>
        </is>
      </c>
      <c r="G33" s="49" t="inlineStr">
        <is>
          <t>Bassa</t>
        </is>
      </c>
      <c r="H33" s="46" t="n">
        <v>29</v>
      </c>
      <c r="I33" s="56" t="inlineStr">
        <is>
          <t>GRA-A1-018</t>
        </is>
      </c>
      <c r="J33" s="56" t="inlineStr">
        <is>
          <t>Usare was/were per descrivere stati e situazioni passate.</t>
        </is>
      </c>
      <c r="K33" s="56" t="inlineStr">
        <is>
          <t>Grammatica, Lettura</t>
        </is>
      </c>
      <c r="L33" s="46" t="n">
        <v>12</v>
      </c>
      <c r="M33" s="56" t="inlineStr">
        <is>
          <t>VOC-A1-005</t>
        </is>
      </c>
      <c r="N33" s="56" t="inlineStr">
        <is>
          <t>GRA-A2-002</t>
        </is>
      </c>
      <c r="O33" s="56" t="inlineStr">
        <is>
          <t>«I am born in 1990» invece di «I was born»; confondere was/were.</t>
        </is>
      </c>
      <c r="P33" s="51" t="inlineStr">
        <is>
          <t>Da sviluppare (MVP)</t>
        </is>
      </c>
      <c r="Q33" s="51" t="inlineStr">
        <is>
          <t>Past simple</t>
        </is>
      </c>
    </row>
    <row r="34" ht="27.75" customHeight="1" s="40">
      <c r="A34" s="46" t="inlineStr">
        <is>
          <t>GRA-A2-002</t>
        </is>
      </c>
      <c r="B34" s="47" t="inlineStr">
        <is>
          <t>Grammatica</t>
        </is>
      </c>
      <c r="C34" s="56" t="inlineStr">
        <is>
          <t>Regola ed esercizi</t>
        </is>
      </c>
      <c r="D34" s="56" t="inlineStr">
        <is>
          <t>Past simple: verbi regolari</t>
        </is>
      </c>
      <c r="E34" s="56" t="inlineStr">
        <is>
          <t>Regola spiegata in parole semplici, strutture (affermativa, negativa, interrogativa), esempi con traduzione, confronto con l'italiano ed esercizi progressivi.</t>
        </is>
      </c>
      <c r="F34" s="58" t="inlineStr">
        <is>
          <t>A2</t>
        </is>
      </c>
      <c r="G34" s="55" t="inlineStr">
        <is>
          <t>Media</t>
        </is>
      </c>
      <c r="H34" s="46" t="n">
        <v>30</v>
      </c>
      <c r="I34" s="56" t="inlineStr">
        <is>
          <t>GRA-A2-001</t>
        </is>
      </c>
      <c r="J34" s="56" t="inlineStr">
        <is>
          <t>Raccontare eventi conclusi con la forma in -ed e riconoscerne l'uso rispetto al passato prossimo italiano.</t>
        </is>
      </c>
      <c r="K34" s="56" t="inlineStr">
        <is>
          <t>Grammatica, Lettura</t>
        </is>
      </c>
      <c r="L34" s="46" t="n">
        <v>12</v>
      </c>
      <c r="M34" s="56" t="inlineStr">
        <is>
          <t>GRA-A2-001</t>
        </is>
      </c>
      <c r="N34" s="56" t="inlineStr">
        <is>
          <t>GRA-A2-003</t>
        </is>
      </c>
      <c r="O34" s="56" t="inlineStr">
        <is>
          <t>Pronunciare -ed sempre come /ed/; dimenticare la -ed nelle affermative.</t>
        </is>
      </c>
      <c r="P34" s="56" t="inlineStr">
        <is>
          <t>Da sviluppare</t>
        </is>
      </c>
      <c r="Q34" s="56" t="inlineStr">
        <is>
          <t>Past simple</t>
        </is>
      </c>
    </row>
    <row r="35" ht="42" customHeight="1" s="40">
      <c r="A35" s="46" t="inlineStr">
        <is>
          <t>GRA-A2-003</t>
        </is>
      </c>
      <c r="B35" s="47" t="inlineStr">
        <is>
          <t>Grammatica</t>
        </is>
      </c>
      <c r="C35" s="56" t="inlineStr">
        <is>
          <t>Regola ed esercizi</t>
        </is>
      </c>
      <c r="D35" s="56" t="inlineStr">
        <is>
          <t>Past simple: verbi irregolari</t>
        </is>
      </c>
      <c r="E35" s="56" t="inlineStr">
        <is>
          <t>Regola spiegata in parole semplici, strutture (affermativa, negativa, interrogativa), esempi con traduzione, confronto con l'italiano ed esercizi progressivi.</t>
        </is>
      </c>
      <c r="F35" s="58" t="inlineStr">
        <is>
          <t>A2</t>
        </is>
      </c>
      <c r="G35" s="55" t="inlineStr">
        <is>
          <t>Media</t>
        </is>
      </c>
      <c r="H35" s="46" t="n">
        <v>31</v>
      </c>
      <c r="I35" s="56" t="inlineStr">
        <is>
          <t>GRA-A2-002</t>
        </is>
      </c>
      <c r="J35" s="56" t="inlineStr">
        <is>
          <t>Memorizzare e usare i verbi irregolari più frequenti (go/went, have/had, see/saw...).</t>
        </is>
      </c>
      <c r="K35" s="56" t="inlineStr">
        <is>
          <t>Grammatica, Lettura</t>
        </is>
      </c>
      <c r="L35" s="46" t="n">
        <v>15</v>
      </c>
      <c r="M35" s="56" t="inlineStr">
        <is>
          <t>GRA-A2-002</t>
        </is>
      </c>
      <c r="N35" s="56" t="inlineStr">
        <is>
          <t>GRA-A2-004</t>
        </is>
      </c>
      <c r="O35" s="56" t="inlineStr">
        <is>
          <t>Regolarizzare i verbi («goed», «taked»); confondere past simple e participio (saw/seen).</t>
        </is>
      </c>
      <c r="P35" s="56" t="inlineStr">
        <is>
          <t>Da sviluppare</t>
        </is>
      </c>
      <c r="Q35" s="56" t="inlineStr">
        <is>
          <t>Past simple</t>
        </is>
      </c>
    </row>
    <row r="36" ht="42" customHeight="1" s="40">
      <c r="A36" s="46" t="inlineStr">
        <is>
          <t>GRA-A2-004</t>
        </is>
      </c>
      <c r="B36" s="47" t="inlineStr">
        <is>
          <t>Grammatica</t>
        </is>
      </c>
      <c r="C36" s="56" t="inlineStr">
        <is>
          <t>Regola ed esercizi</t>
        </is>
      </c>
      <c r="D36" s="56" t="inlineStr">
        <is>
          <t>Past simple: negazioni e domande con did</t>
        </is>
      </c>
      <c r="E36" s="56" t="inlineStr">
        <is>
          <t>Regola spiegata in parole semplici, strutture (affermativa, negativa, interrogativa), esempi con traduzione, confronto con l'italiano ed esercizi progressivi.</t>
        </is>
      </c>
      <c r="F36" s="58" t="inlineStr">
        <is>
          <t>A2</t>
        </is>
      </c>
      <c r="G36" s="55" t="inlineStr">
        <is>
          <t>Media</t>
        </is>
      </c>
      <c r="H36" s="46" t="n">
        <v>32</v>
      </c>
      <c r="I36" s="56" t="inlineStr">
        <is>
          <t>GRA-A2-003</t>
        </is>
      </c>
      <c r="J36" s="56" t="inlineStr">
        <is>
          <t>Costruire negazioni e domande al passato con l'ausiliare did + forma base.</t>
        </is>
      </c>
      <c r="K36" s="56" t="inlineStr">
        <is>
          <t>Grammatica, Lettura</t>
        </is>
      </c>
      <c r="L36" s="46" t="n">
        <v>12</v>
      </c>
      <c r="M36" s="56" t="inlineStr">
        <is>
          <t>GRA-A2-003</t>
        </is>
      </c>
      <c r="N36" s="56" t="inlineStr">
        <is>
          <t>COM-A2-004</t>
        </is>
      </c>
      <c r="O36" s="56" t="inlineStr">
        <is>
          <t>«Did you went?»; «I didn't understood»; omettere did nelle domande.</t>
        </is>
      </c>
      <c r="P36" s="56" t="inlineStr">
        <is>
          <t>Da sviluppare</t>
        </is>
      </c>
      <c r="Q36" s="56" t="inlineStr">
        <is>
          <t>Past simple</t>
        </is>
      </c>
    </row>
    <row r="37" ht="42" customHeight="1" s="40">
      <c r="A37" s="46" t="inlineStr">
        <is>
          <t>COM-A2-004</t>
        </is>
      </c>
      <c r="B37" s="51" t="inlineStr">
        <is>
          <t>Comunicazione</t>
        </is>
      </c>
      <c r="C37" s="56" t="inlineStr">
        <is>
          <t>Produzione Guidata</t>
        </is>
      </c>
      <c r="D37" s="56" t="inlineStr">
        <is>
          <t>Raccontare il weekend e il passato recente</t>
        </is>
      </c>
      <c r="E37" s="56" t="inlineStr">
        <is>
          <t>Modello da imitare, scaletta e frasi utili, attività a completamento e feedback sugli errori tipici.</t>
        </is>
      </c>
      <c r="F37" s="58" t="inlineStr">
        <is>
          <t>A2</t>
        </is>
      </c>
      <c r="G37" s="55" t="inlineStr">
        <is>
          <t>Media</t>
        </is>
      </c>
      <c r="H37" s="46" t="n">
        <v>33</v>
      </c>
      <c r="I37" s="56" t="inlineStr">
        <is>
          <t>COM-A1-005, GRA-A2-003</t>
        </is>
      </c>
      <c r="J37" s="56" t="inlineStr">
        <is>
          <t>Raccontare eventi recenti con il past simple in modo guidato.</t>
        </is>
      </c>
      <c r="K37" s="56" t="inlineStr">
        <is>
          <t>Speaking, Scrittura</t>
        </is>
      </c>
      <c r="L37" s="46" t="n">
        <v>15</v>
      </c>
      <c r="M37" s="56" t="inlineStr">
        <is>
          <t>GRA-A2-004</t>
        </is>
      </c>
      <c r="N37" s="56" t="inlineStr">
        <is>
          <t>GRA-A2-005</t>
        </is>
      </c>
      <c r="O37" s="56" t="inlineStr">
        <is>
          <t>Verbi irregolari regolarizzati; «I have gone yesterday» invece del past simple.</t>
        </is>
      </c>
      <c r="P37" s="56" t="inlineStr">
        <is>
          <t>Da sviluppare</t>
        </is>
      </c>
      <c r="Q37" s="56" t="inlineStr">
        <is>
          <t>Raccontare esperienze</t>
        </is>
      </c>
    </row>
    <row r="38" ht="27.75" customHeight="1" s="40">
      <c r="A38" s="46" t="inlineStr">
        <is>
          <t>GRA-A2-005</t>
        </is>
      </c>
      <c r="B38" s="47" t="inlineStr">
        <is>
          <t>Grammatica</t>
        </is>
      </c>
      <c r="C38" s="56" t="inlineStr">
        <is>
          <t>Regola ed esercizi</t>
        </is>
      </c>
      <c r="D38" s="56" t="inlineStr">
        <is>
          <t>Past continuous e confronto con il past simple</t>
        </is>
      </c>
      <c r="E38" s="56" t="inlineStr">
        <is>
          <t>Regola spiegata in parole semplici, strutture (affermativa, negativa, interrogativa), esempi con traduzione, confronto con l'italiano ed esercizi progressivi.</t>
        </is>
      </c>
      <c r="F38" s="58" t="inlineStr">
        <is>
          <t>A2</t>
        </is>
      </c>
      <c r="G38" s="55" t="inlineStr">
        <is>
          <t>Media</t>
        </is>
      </c>
      <c r="H38" s="46" t="n">
        <v>34</v>
      </c>
      <c r="I38" s="56" t="inlineStr">
        <is>
          <t>GRA-A2-004</t>
        </is>
      </c>
      <c r="J38" s="56" t="inlineStr">
        <is>
          <t>Descrivere azioni in corso nel passato e interruzioni, gestendo la differenza con l'imperfetto italiano.</t>
        </is>
      </c>
      <c r="K38" s="56" t="inlineStr">
        <is>
          <t>Grammatica, Lettura</t>
        </is>
      </c>
      <c r="L38" s="46" t="n">
        <v>15</v>
      </c>
      <c r="M38" s="56" t="inlineStr">
        <is>
          <t>COM-A2-004</t>
        </is>
      </c>
      <c r="N38" s="56" t="inlineStr">
        <is>
          <t>VOC-A2-001</t>
        </is>
      </c>
      <c r="O38" s="56" t="inlineStr">
        <is>
          <t>Tradurre ogni imperfetto con il past continuous; «While I watched TV» dove serve «was watching».</t>
        </is>
      </c>
      <c r="P38" s="56" t="inlineStr">
        <is>
          <t>Da sviluppare</t>
        </is>
      </c>
      <c r="Q38" s="56" t="inlineStr">
        <is>
          <t>Past continuous</t>
        </is>
      </c>
    </row>
    <row r="39" ht="42" customHeight="1" s="40">
      <c r="A39" s="46" t="inlineStr">
        <is>
          <t>VOC-A2-001</t>
        </is>
      </c>
      <c r="B39" s="54" t="inlineStr">
        <is>
          <t>Vocabolario</t>
        </is>
      </c>
      <c r="C39" s="56" t="inlineStr">
        <is>
          <t>Lessico tematico</t>
        </is>
      </c>
      <c r="D39" s="56" t="inlineStr">
        <is>
          <t>Viaggi, trasporti e indicazioni stradali</t>
        </is>
      </c>
      <c r="E39" s="56" t="inlineStr">
        <is>
          <t>Parole chiave, espressioni in contesto reale, falsi amici ed errori tipici, quiz di consolidamento.</t>
        </is>
      </c>
      <c r="F39" s="58" t="inlineStr">
        <is>
          <t>A2</t>
        </is>
      </c>
      <c r="G39" s="55" t="inlineStr">
        <is>
          <t>Media</t>
        </is>
      </c>
      <c r="H39" s="46" t="n">
        <v>35</v>
      </c>
      <c r="I39" s="56" t="inlineStr">
        <is>
          <t>VOC-A1-005</t>
        </is>
      </c>
      <c r="J39" s="56" t="inlineStr">
        <is>
          <t>Muoversi in città e in viaggio: mezzi, biglietti, direzioni.</t>
        </is>
      </c>
      <c r="K39" s="56" t="inlineStr">
        <is>
          <t>Lessico, Lettura</t>
        </is>
      </c>
      <c r="L39" s="46" t="n">
        <v>12</v>
      </c>
      <c r="M39" s="56" t="inlineStr">
        <is>
          <t>GRA-A2-005</t>
        </is>
      </c>
      <c r="N39" s="56" t="inlineStr">
        <is>
          <t>COM-A2-001</t>
        </is>
      </c>
      <c r="O39" s="56" t="inlineStr">
        <is>
          <t>Confondere trip/travel/journey; «go in bus» invece di «by bus»; «station» vs «stop».</t>
        </is>
      </c>
      <c r="P39" s="56" t="inlineStr">
        <is>
          <t>Da sviluppare</t>
        </is>
      </c>
      <c r="Q39" s="56" t="inlineStr">
        <is>
          <t>Viaggi e trasporti</t>
        </is>
      </c>
    </row>
    <row r="40" ht="42" customHeight="1" s="40">
      <c r="A40" s="46" t="inlineStr">
        <is>
          <t>COM-A2-001</t>
        </is>
      </c>
      <c r="B40" s="51" t="inlineStr">
        <is>
          <t>Comunicazione</t>
        </is>
      </c>
      <c r="C40" s="56" t="inlineStr">
        <is>
          <t>Dialogo</t>
        </is>
      </c>
      <c r="D40" s="56" t="inlineStr">
        <is>
          <t>Al ristorante: ordinare e chiedere il conto</t>
        </is>
      </c>
      <c r="E40" s="56" t="inlineStr">
        <is>
          <t>Scenario realistico con dialogo modello, espressioni utili, simulazione interattiva a scelte e feedback finale.</t>
        </is>
      </c>
      <c r="F40" s="58" t="inlineStr">
        <is>
          <t>A2</t>
        </is>
      </c>
      <c r="G40" s="55" t="inlineStr">
        <is>
          <t>Media</t>
        </is>
      </c>
      <c r="H40" s="46" t="n">
        <v>36</v>
      </c>
      <c r="I40" s="56" t="inlineStr">
        <is>
          <t>COM-A2-004</t>
        </is>
      </c>
      <c r="J40" s="56" t="inlineStr">
        <is>
          <t>Gestire un pasto al ristorante: prenotare, ordinare, chiedere consigli, pagare.</t>
        </is>
      </c>
      <c r="K40" s="56" t="inlineStr">
        <is>
          <t>Speaking, Lettura</t>
        </is>
      </c>
      <c r="L40" s="46" t="n">
        <v>15</v>
      </c>
      <c r="M40" s="56" t="inlineStr">
        <is>
          <t>VOC-A2-001</t>
        </is>
      </c>
      <c r="N40" s="56" t="inlineStr">
        <is>
          <t>COM-A2-002</t>
        </is>
      </c>
      <c r="O40" s="56" t="inlineStr">
        <is>
          <t>«I want...» troppo diretto invece di «I'd like»; «the count» per «the bill/check».</t>
        </is>
      </c>
      <c r="P40" s="56" t="inlineStr">
        <is>
          <t>Da sviluppare</t>
        </is>
      </c>
      <c r="Q40" s="56" t="inlineStr">
        <is>
          <t>Mangiare e bere fuori</t>
        </is>
      </c>
    </row>
    <row r="41" ht="27.75" customHeight="1" s="40">
      <c r="A41" s="46" t="inlineStr">
        <is>
          <t>COM-A2-002</t>
        </is>
      </c>
      <c r="B41" s="51" t="inlineStr">
        <is>
          <t>Comunicazione</t>
        </is>
      </c>
      <c r="C41" s="56" t="inlineStr">
        <is>
          <t>Dialogo</t>
        </is>
      </c>
      <c r="D41" s="56" t="inlineStr">
        <is>
          <t>In aeroporto: check-in e controlli</t>
        </is>
      </c>
      <c r="E41" s="56" t="inlineStr">
        <is>
          <t>Scenario realistico con dialogo modello, espressioni utili, simulazione interattiva a scelte e feedback finale.</t>
        </is>
      </c>
      <c r="F41" s="58" t="inlineStr">
        <is>
          <t>A2</t>
        </is>
      </c>
      <c r="G41" s="55" t="inlineStr">
        <is>
          <t>Media</t>
        </is>
      </c>
      <c r="H41" s="46" t="n">
        <v>37</v>
      </c>
      <c r="I41" s="56" t="inlineStr">
        <is>
          <t>COM-A2-001, VOC-A2-001</t>
        </is>
      </c>
      <c r="J41" s="56" t="inlineStr">
        <is>
          <t>Affrontare check-in, sicurezza e imbarco capendo domande e annunci tipici.</t>
        </is>
      </c>
      <c r="K41" s="56" t="inlineStr">
        <is>
          <t>Speaking, Lettura</t>
        </is>
      </c>
      <c r="L41" s="46" t="n">
        <v>15</v>
      </c>
      <c r="M41" s="56" t="inlineStr">
        <is>
          <t>COM-A2-001</t>
        </is>
      </c>
      <c r="N41" s="56" t="inlineStr">
        <is>
          <t>GRA-A2-006</t>
        </is>
      </c>
      <c r="O41" s="56" t="inlineStr">
        <is>
          <t>«Control» per «check»; «baggages» (bagagli è uncountable: luggage/baggage).</t>
        </is>
      </c>
      <c r="P41" s="56" t="inlineStr">
        <is>
          <t>Da sviluppare</t>
        </is>
      </c>
      <c r="Q41" s="56" t="inlineStr">
        <is>
          <t>Viaggi e alloggio</t>
        </is>
      </c>
    </row>
    <row r="42" ht="42" customHeight="1" s="40">
      <c r="A42" s="46" t="inlineStr">
        <is>
          <t>GRA-A2-006</t>
        </is>
      </c>
      <c r="B42" s="47" t="inlineStr">
        <is>
          <t>Grammatica</t>
        </is>
      </c>
      <c r="C42" s="56" t="inlineStr">
        <is>
          <t>Regola ed esercizi</t>
        </is>
      </c>
      <c r="D42" s="56" t="inlineStr">
        <is>
          <t>Il futuro: will, going to e present continuous</t>
        </is>
      </c>
      <c r="E42" s="56" t="inlineStr">
        <is>
          <t>Regola spiegata in parole semplici, strutture (affermativa, negativa, interrogativa), esempi con traduzione, confronto con l'italiano ed esercizi progressivi.</t>
        </is>
      </c>
      <c r="F42" s="58" t="inlineStr">
        <is>
          <t>A2</t>
        </is>
      </c>
      <c r="G42" s="57" t="inlineStr">
        <is>
          <t>Alta</t>
        </is>
      </c>
      <c r="H42" s="46" t="n">
        <v>38</v>
      </c>
      <c r="I42" s="56" t="inlineStr">
        <is>
          <t>GRA-A2-005</t>
        </is>
      </c>
      <c r="J42" s="56" t="inlineStr">
        <is>
          <t>Scegliere la forma di futuro corretta per previsioni, intenzioni e programmi fissati.</t>
        </is>
      </c>
      <c r="K42" s="56" t="inlineStr">
        <is>
          <t>Grammatica, Lettura</t>
        </is>
      </c>
      <c r="L42" s="46" t="n">
        <v>15</v>
      </c>
      <c r="M42" s="56" t="inlineStr">
        <is>
          <t>COM-A2-002</t>
        </is>
      </c>
      <c r="N42" s="56" t="inlineStr">
        <is>
          <t>COM-A2-005</t>
        </is>
      </c>
      <c r="O42" s="56" t="inlineStr">
        <is>
          <t>Usare will per piani già decisi; «I will to go»; ignorare il present continuous per appuntamenti («Tonight I see Marco»).</t>
        </is>
      </c>
      <c r="P42" s="56" t="inlineStr">
        <is>
          <t>Da sviluppare</t>
        </is>
      </c>
      <c r="Q42" s="56" t="inlineStr">
        <is>
          <t>Il futuro</t>
        </is>
      </c>
    </row>
    <row r="43" ht="27.75" customHeight="1" s="40">
      <c r="A43" s="46" t="inlineStr">
        <is>
          <t>COM-A2-005</t>
        </is>
      </c>
      <c r="B43" s="51" t="inlineStr">
        <is>
          <t>Comunicazione</t>
        </is>
      </c>
      <c r="C43" s="56" t="inlineStr">
        <is>
          <t>Produzione Guidata</t>
        </is>
      </c>
      <c r="D43" s="56" t="inlineStr">
        <is>
          <t>Parlare di programmi e intenzioni future</t>
        </is>
      </c>
      <c r="E43" s="56" t="inlineStr">
        <is>
          <t>Modello da imitare, scaletta e frasi utili, attività a completamento e feedback sugli errori tipici.</t>
        </is>
      </c>
      <c r="F43" s="58" t="inlineStr">
        <is>
          <t>A2</t>
        </is>
      </c>
      <c r="G43" s="55" t="inlineStr">
        <is>
          <t>Media</t>
        </is>
      </c>
      <c r="H43" s="46" t="n">
        <v>39</v>
      </c>
      <c r="I43" s="56" t="inlineStr">
        <is>
          <t>COM-A2-002, GRA-A2-006</t>
        </is>
      </c>
      <c r="J43" s="56" t="inlineStr">
        <is>
          <t>Descrivere piani e intenzioni scegliendo tra going to, will e present continuous.</t>
        </is>
      </c>
      <c r="K43" s="56" t="inlineStr">
        <is>
          <t>Speaking, Scrittura</t>
        </is>
      </c>
      <c r="L43" s="46" t="n">
        <v>15</v>
      </c>
      <c r="M43" s="56" t="inlineStr">
        <is>
          <t>GRA-A2-006</t>
        </is>
      </c>
      <c r="N43" s="56" t="inlineStr">
        <is>
          <t>GRA-A2-007</t>
        </is>
      </c>
      <c r="O43" s="56" t="inlineStr">
        <is>
          <t>Will per piani già decisi; «I go to the sea this summer» calco del presente italiano.</t>
        </is>
      </c>
      <c r="P43" s="56" t="inlineStr">
        <is>
          <t>Da sviluppare</t>
        </is>
      </c>
      <c r="Q43" s="56" t="inlineStr">
        <is>
          <t>Parlare di programmi</t>
        </is>
      </c>
    </row>
    <row r="44" ht="27.75" customHeight="1" s="40">
      <c r="A44" s="46" t="inlineStr">
        <is>
          <t>GRA-A2-007</t>
        </is>
      </c>
      <c r="B44" s="47" t="inlineStr">
        <is>
          <t>Grammatica</t>
        </is>
      </c>
      <c r="C44" s="56" t="inlineStr">
        <is>
          <t>Regola ed esercizi</t>
        </is>
      </c>
      <c r="D44" s="56" t="inlineStr">
        <is>
          <t>Present perfect: introduzione</t>
        </is>
      </c>
      <c r="E44" s="56" t="inlineStr">
        <is>
          <t>Regola spiegata in parole semplici, strutture (affermativa, negativa, interrogativa), esempi con traduzione, confronto con l'italiano ed esercizi progressivi.</t>
        </is>
      </c>
      <c r="F44" s="58" t="inlineStr">
        <is>
          <t>A2</t>
        </is>
      </c>
      <c r="G44" s="57" t="inlineStr">
        <is>
          <t>Alta</t>
        </is>
      </c>
      <c r="H44" s="46" t="n">
        <v>40</v>
      </c>
      <c r="I44" s="56" t="inlineStr">
        <is>
          <t>GRA-A2-006</t>
        </is>
      </c>
      <c r="J44" s="56" t="inlineStr">
        <is>
          <t>Parlare di esperienze e azioni con effetto nel presente con have + participio.</t>
        </is>
      </c>
      <c r="K44" s="56" t="inlineStr">
        <is>
          <t>Grammatica, Lettura</t>
        </is>
      </c>
      <c r="L44" s="46" t="n">
        <v>15</v>
      </c>
      <c r="M44" s="56" t="inlineStr">
        <is>
          <t>COM-A2-005</t>
        </is>
      </c>
      <c r="N44" s="56" t="inlineStr">
        <is>
          <t>GRA-A2-008</t>
        </is>
      </c>
      <c r="O44" s="56" t="inlineStr">
        <is>
          <t>Tradurre ogni passato prossimo italiano con il present perfect («I have seen him yesterday»).</t>
        </is>
      </c>
      <c r="P44" s="56" t="inlineStr">
        <is>
          <t>Da sviluppare</t>
        </is>
      </c>
      <c r="Q44" s="56" t="inlineStr">
        <is>
          <t>Present perfect</t>
        </is>
      </c>
    </row>
    <row r="45" ht="27.75" customHeight="1" s="40">
      <c r="A45" s="46" t="inlineStr">
        <is>
          <t>GRA-A2-008</t>
        </is>
      </c>
      <c r="B45" s="47" t="inlineStr">
        <is>
          <t>Grammatica</t>
        </is>
      </c>
      <c r="C45" s="56" t="inlineStr">
        <is>
          <t>Regola ed esercizi</t>
        </is>
      </c>
      <c r="D45" s="56" t="inlineStr">
        <is>
          <t>Comparativi e superlativi</t>
        </is>
      </c>
      <c r="E45" s="56" t="inlineStr">
        <is>
          <t>Regola spiegata in parole semplici, strutture (affermativa, negativa, interrogativa), esempi con traduzione, confronto con l'italiano ed esercizi progressivi.</t>
        </is>
      </c>
      <c r="F45" s="58" t="inlineStr">
        <is>
          <t>A2</t>
        </is>
      </c>
      <c r="G45" s="55" t="inlineStr">
        <is>
          <t>Media</t>
        </is>
      </c>
      <c r="H45" s="46" t="n">
        <v>41</v>
      </c>
      <c r="I45" s="56" t="inlineStr">
        <is>
          <t>GRA-A2-007</t>
        </is>
      </c>
      <c r="J45" s="56" t="inlineStr">
        <is>
          <t>Confrontare persone e cose con -er/-est e more/most, senza calchi dall'italiano.</t>
        </is>
      </c>
      <c r="K45" s="56" t="inlineStr">
        <is>
          <t>Grammatica, Lettura</t>
        </is>
      </c>
      <c r="L45" s="46" t="n">
        <v>12</v>
      </c>
      <c r="M45" s="56" t="inlineStr">
        <is>
          <t>GRA-A2-007</t>
        </is>
      </c>
      <c r="N45" s="56" t="inlineStr">
        <is>
          <t>VOC-A2-002</t>
        </is>
      </c>
      <c r="O45" s="56" t="inlineStr">
        <is>
          <t>«More better», «more easy»; «than» confuso con «that»; «the most tall».</t>
        </is>
      </c>
      <c r="P45" s="56" t="inlineStr">
        <is>
          <t>Da sviluppare</t>
        </is>
      </c>
      <c r="Q45" s="56" t="inlineStr">
        <is>
          <t>Comparativi e superlativi</t>
        </is>
      </c>
    </row>
    <row r="46" ht="42" customHeight="1" s="40">
      <c r="A46" s="46" t="inlineStr">
        <is>
          <t>VOC-A2-002</t>
        </is>
      </c>
      <c r="B46" s="54" t="inlineStr">
        <is>
          <t>Vocabolario</t>
        </is>
      </c>
      <c r="C46" s="56" t="inlineStr">
        <is>
          <t>Lessico tematico</t>
        </is>
      </c>
      <c r="D46" s="56" t="inlineStr">
        <is>
          <t>Lavoro e professioni</t>
        </is>
      </c>
      <c r="E46" s="56" t="inlineStr">
        <is>
          <t>Parole chiave, espressioni in contesto reale, falsi amici ed errori tipici, quiz di consolidamento.</t>
        </is>
      </c>
      <c r="F46" s="58" t="inlineStr">
        <is>
          <t>A2</t>
        </is>
      </c>
      <c r="G46" s="55" t="inlineStr">
        <is>
          <t>Media</t>
        </is>
      </c>
      <c r="H46" s="46" t="n">
        <v>42</v>
      </c>
      <c r="I46" s="56" t="inlineStr">
        <is>
          <t>VOC-A2-001</t>
        </is>
      </c>
      <c r="J46" s="56" t="inlineStr">
        <is>
          <t>Parlare del proprio lavoro, dei ruoli e della giornata lavorativa.</t>
        </is>
      </c>
      <c r="K46" s="56" t="inlineStr">
        <is>
          <t>Lessico, Lettura</t>
        </is>
      </c>
      <c r="L46" s="46" t="n">
        <v>12</v>
      </c>
      <c r="M46" s="56" t="inlineStr">
        <is>
          <t>GRA-A2-008</t>
        </is>
      </c>
      <c r="N46" s="56" t="inlineStr">
        <is>
          <t>GRA-A2-009</t>
        </is>
      </c>
      <c r="O46" s="56" t="inlineStr">
        <is>
          <t>«Work» vs «job»; «I do the doctor» calco di «faccio il medico» (I am a doctor).</t>
        </is>
      </c>
      <c r="P46" s="56" t="inlineStr">
        <is>
          <t>Da sviluppare</t>
        </is>
      </c>
      <c r="Q46" s="56" t="inlineStr">
        <is>
          <t>Lavoro e professioni</t>
        </is>
      </c>
    </row>
    <row r="47" ht="27.75" customHeight="1" s="40">
      <c r="A47" s="46" t="inlineStr">
        <is>
          <t>GRA-A2-009</t>
        </is>
      </c>
      <c r="B47" s="47" t="inlineStr">
        <is>
          <t>Grammatica</t>
        </is>
      </c>
      <c r="C47" s="56" t="inlineStr">
        <is>
          <t>Regola ed esercizi</t>
        </is>
      </c>
      <c r="D47" s="56" t="inlineStr">
        <is>
          <t>Numerabili e non numerabili: much, many, a lot of</t>
        </is>
      </c>
      <c r="E47" s="56" t="inlineStr">
        <is>
          <t>Regola spiegata in parole semplici, strutture (affermativa, negativa, interrogativa), esempi con traduzione, confronto con l'italiano ed esercizi progressivi.</t>
        </is>
      </c>
      <c r="F47" s="58" t="inlineStr">
        <is>
          <t>A2</t>
        </is>
      </c>
      <c r="G47" s="55" t="inlineStr">
        <is>
          <t>Media</t>
        </is>
      </c>
      <c r="H47" s="46" t="n">
        <v>43</v>
      </c>
      <c r="I47" s="56" t="inlineStr">
        <is>
          <t>GRA-A2-008</t>
        </is>
      </c>
      <c r="J47" s="56" t="inlineStr">
        <is>
          <t>Riconoscere i nomi non numerabili e scegliere il quantificatore corretto.</t>
        </is>
      </c>
      <c r="K47" s="56" t="inlineStr">
        <is>
          <t>Grammatica, Lettura</t>
        </is>
      </c>
      <c r="L47" s="46" t="n">
        <v>12</v>
      </c>
      <c r="M47" s="56" t="inlineStr">
        <is>
          <t>VOC-A2-002</t>
        </is>
      </c>
      <c r="N47" s="56" t="inlineStr">
        <is>
          <t>VOC-A2-003</t>
        </is>
      </c>
      <c r="O47" s="56" t="inlineStr">
        <is>
          <t>«Many money», «How much people?»; trattare come numerabili money, information, advice, news.</t>
        </is>
      </c>
      <c r="P47" s="56" t="inlineStr">
        <is>
          <t>Da sviluppare</t>
        </is>
      </c>
      <c r="Q47" s="56" t="inlineStr">
        <is>
          <t>Quantificatori</t>
        </is>
      </c>
    </row>
    <row r="48" ht="42" customHeight="1" s="40">
      <c r="A48" s="46" t="inlineStr">
        <is>
          <t>VOC-A2-003</t>
        </is>
      </c>
      <c r="B48" s="54" t="inlineStr">
        <is>
          <t>Vocabolario</t>
        </is>
      </c>
      <c r="C48" s="56" t="inlineStr">
        <is>
          <t>Lessico tematico</t>
        </is>
      </c>
      <c r="D48" s="56" t="inlineStr">
        <is>
          <t>Shopping, abbigliamento e taglie</t>
        </is>
      </c>
      <c r="E48" s="56" t="inlineStr">
        <is>
          <t>Parole chiave, espressioni in contesto reale, falsi amici ed errori tipici, quiz di consolidamento.</t>
        </is>
      </c>
      <c r="F48" s="58" t="inlineStr">
        <is>
          <t>A2</t>
        </is>
      </c>
      <c r="G48" s="55" t="inlineStr">
        <is>
          <t>Media</t>
        </is>
      </c>
      <c r="H48" s="46" t="n">
        <v>44</v>
      </c>
      <c r="I48" s="56" t="inlineStr">
        <is>
          <t>VOC-A2-002</t>
        </is>
      </c>
      <c r="J48" s="56" t="inlineStr">
        <is>
          <t>Fare acquisti: capi, taglie, prezzi, resi.</t>
        </is>
      </c>
      <c r="K48" s="56" t="inlineStr">
        <is>
          <t>Lessico, Lettura</t>
        </is>
      </c>
      <c r="L48" s="46" t="n">
        <v>10</v>
      </c>
      <c r="M48" s="56" t="inlineStr">
        <is>
          <t>GRA-A2-009</t>
        </is>
      </c>
      <c r="N48" s="56" t="inlineStr">
        <is>
          <t>COM-A2-003</t>
        </is>
      </c>
      <c r="O48" s="56" t="inlineStr">
        <is>
          <t>«Dress» usato per ogni capo; «prove» per «provare» (try on); «How much costs?».</t>
        </is>
      </c>
      <c r="P48" s="56" t="inlineStr">
        <is>
          <t>Da sviluppare</t>
        </is>
      </c>
      <c r="Q48" s="56" t="inlineStr">
        <is>
          <t>Shopping e abbigliamento</t>
        </is>
      </c>
    </row>
    <row r="49" ht="42" customHeight="1" s="40">
      <c r="A49" s="46" t="inlineStr">
        <is>
          <t>COM-A2-003</t>
        </is>
      </c>
      <c r="B49" s="51" t="inlineStr">
        <is>
          <t>Comunicazione</t>
        </is>
      </c>
      <c r="C49" s="56" t="inlineStr">
        <is>
          <t>Dialogo</t>
        </is>
      </c>
      <c r="D49" s="56" t="inlineStr">
        <is>
          <t>In negozio: acquisti, taglie e resi</t>
        </is>
      </c>
      <c r="E49" s="56" t="inlineStr">
        <is>
          <t>Scenario realistico con dialogo modello, espressioni utili, simulazione interattiva a scelte e feedback finale.</t>
        </is>
      </c>
      <c r="F49" s="58" t="inlineStr">
        <is>
          <t>A2</t>
        </is>
      </c>
      <c r="G49" s="55" t="inlineStr">
        <is>
          <t>Media</t>
        </is>
      </c>
      <c r="H49" s="46" t="n">
        <v>45</v>
      </c>
      <c r="I49" s="56" t="inlineStr">
        <is>
          <t>COM-A2-005, VOC-A2-003</t>
        </is>
      </c>
      <c r="J49" s="56" t="inlineStr">
        <is>
          <t>Chiedere aiuto in negozio, provare capi, chiedere prezzi e fare un cambio.</t>
        </is>
      </c>
      <c r="K49" s="56" t="inlineStr">
        <is>
          <t>Speaking, Lettura</t>
        </is>
      </c>
      <c r="L49" s="46" t="n">
        <v>15</v>
      </c>
      <c r="M49" s="56" t="inlineStr">
        <is>
          <t>VOC-A2-003</t>
        </is>
      </c>
      <c r="N49" s="56" t="inlineStr">
        <is>
          <t>GRA-A2-010</t>
        </is>
      </c>
      <c r="O49" s="56" t="inlineStr">
        <is>
          <t>«Can I prove it?» per «provare» (try on); «How much it costs?» con ordine errato.</t>
        </is>
      </c>
      <c r="P49" s="56" t="inlineStr">
        <is>
          <t>Da sviluppare</t>
        </is>
      </c>
      <c r="Q49" s="56" t="inlineStr">
        <is>
          <t>Acquisti e servizi</t>
        </is>
      </c>
    </row>
    <row r="50" ht="27.75" customHeight="1" s="40">
      <c r="A50" s="46" t="inlineStr">
        <is>
          <t>GRA-A2-010</t>
        </is>
      </c>
      <c r="B50" s="47" t="inlineStr">
        <is>
          <t>Grammatica</t>
        </is>
      </c>
      <c r="C50" s="56" t="inlineStr">
        <is>
          <t>Regola ed esercizi</t>
        </is>
      </c>
      <c r="D50" s="56" t="inlineStr">
        <is>
          <t>I modali dell'obbligo: must, have to e should</t>
        </is>
      </c>
      <c r="E50" s="56" t="inlineStr">
        <is>
          <t>Regola spiegata in parole semplici, strutture (affermativa, negativa, interrogativa), esempi con traduzione, confronto con l'italiano ed esercizi progressivi.</t>
        </is>
      </c>
      <c r="F50" s="58" t="inlineStr">
        <is>
          <t>A2</t>
        </is>
      </c>
      <c r="G50" s="57" t="inlineStr">
        <is>
          <t>Alta</t>
        </is>
      </c>
      <c r="H50" s="46" t="n">
        <v>46</v>
      </c>
      <c r="I50" s="56" t="inlineStr">
        <is>
          <t>GRA-A2-009</t>
        </is>
      </c>
      <c r="J50" s="56" t="inlineStr">
        <is>
          <t>Esprimere obblighi, necessità e consigli scegliendo il modale giusto.</t>
        </is>
      </c>
      <c r="K50" s="56" t="inlineStr">
        <is>
          <t>Grammatica, Lettura</t>
        </is>
      </c>
      <c r="L50" s="46" t="n">
        <v>15</v>
      </c>
      <c r="M50" s="56" t="inlineStr">
        <is>
          <t>COM-A2-003</t>
        </is>
      </c>
      <c r="N50" s="56" t="inlineStr">
        <is>
          <t>GRA-A2-011</t>
        </is>
      </c>
      <c r="O50" s="56" t="inlineStr">
        <is>
          <t>«I must to go»; confondere mustn't (divieto) con don't have to (assenza di obbligo).</t>
        </is>
      </c>
      <c r="P50" s="56" t="inlineStr">
        <is>
          <t>Da sviluppare</t>
        </is>
      </c>
      <c r="Q50" s="56" t="inlineStr">
        <is>
          <t>Verbi modali</t>
        </is>
      </c>
    </row>
    <row r="51" ht="42" customHeight="1" s="40">
      <c r="A51" s="46" t="inlineStr">
        <is>
          <t>GRA-A2-011</t>
        </is>
      </c>
      <c r="B51" s="47" t="inlineStr">
        <is>
          <t>Grammatica</t>
        </is>
      </c>
      <c r="C51" s="56" t="inlineStr">
        <is>
          <t>Regola ed esercizi</t>
        </is>
      </c>
      <c r="D51" s="56" t="inlineStr">
        <is>
          <t>Zero e first conditional</t>
        </is>
      </c>
      <c r="E51" s="56" t="inlineStr">
        <is>
          <t>Regola spiegata in parole semplici, strutture (affermativa, negativa, interrogativa), esempi con traduzione, confronto con l'italiano ed esercizi progressivi.</t>
        </is>
      </c>
      <c r="F51" s="58" t="inlineStr">
        <is>
          <t>A2</t>
        </is>
      </c>
      <c r="G51" s="57" t="inlineStr">
        <is>
          <t>Alta</t>
        </is>
      </c>
      <c r="H51" s="46" t="n">
        <v>47</v>
      </c>
      <c r="I51" s="56" t="inlineStr">
        <is>
          <t>GRA-A2-010</t>
        </is>
      </c>
      <c r="J51" s="56" t="inlineStr">
        <is>
          <t>Costruire periodi ipotetici di realtà con if + present simple.</t>
        </is>
      </c>
      <c r="K51" s="56" t="inlineStr">
        <is>
          <t>Grammatica, Lettura</t>
        </is>
      </c>
      <c r="L51" s="46" t="n">
        <v>15</v>
      </c>
      <c r="M51" s="56" t="inlineStr">
        <is>
          <t>GRA-A2-010</t>
        </is>
      </c>
      <c r="N51" s="56" t="inlineStr">
        <is>
          <t>VOC-A2-004</t>
        </is>
      </c>
      <c r="O51" s="56" t="inlineStr">
        <is>
          <t>«If I will have time» (futuro dopo if, calco dell'italiano); confondere if e when.</t>
        </is>
      </c>
      <c r="P51" s="56" t="inlineStr">
        <is>
          <t>Da sviluppare</t>
        </is>
      </c>
      <c r="Q51" s="56" t="inlineStr">
        <is>
          <t>Periodo ipotetico</t>
        </is>
      </c>
    </row>
    <row r="52" ht="27.75" customHeight="1" s="40">
      <c r="A52" s="46" t="inlineStr">
        <is>
          <t>VOC-A2-004</t>
        </is>
      </c>
      <c r="B52" s="54" t="inlineStr">
        <is>
          <t>Vocabolario</t>
        </is>
      </c>
      <c r="C52" s="56" t="inlineStr">
        <is>
          <t>Lessico tematico</t>
        </is>
      </c>
      <c r="D52" s="56" t="inlineStr">
        <is>
          <t>Tempo libero, sport e hobby</t>
        </is>
      </c>
      <c r="E52" s="56" t="inlineStr">
        <is>
          <t>Parole chiave, espressioni in contesto reale, falsi amici ed errori tipici, quiz di consolidamento.</t>
        </is>
      </c>
      <c r="F52" s="58" t="inlineStr">
        <is>
          <t>A2</t>
        </is>
      </c>
      <c r="G52" s="49" t="inlineStr">
        <is>
          <t>Bassa</t>
        </is>
      </c>
      <c r="H52" s="46" t="n">
        <v>48</v>
      </c>
      <c r="I52" s="56" t="inlineStr">
        <is>
          <t>VOC-A2-003</t>
        </is>
      </c>
      <c r="J52" s="56" t="inlineStr">
        <is>
          <t>Descrivere hobby e attività con i verbi corretti play/do/go.</t>
        </is>
      </c>
      <c r="K52" s="56" t="inlineStr">
        <is>
          <t>Lessico, Lettura</t>
        </is>
      </c>
      <c r="L52" s="46" t="n">
        <v>10</v>
      </c>
      <c r="M52" s="56" t="inlineStr">
        <is>
          <t>GRA-A2-011</t>
        </is>
      </c>
      <c r="N52" s="56" t="inlineStr">
        <is>
          <t>GRA-A2-012</t>
        </is>
      </c>
      <c r="O52" s="56" t="inlineStr">
        <is>
          <t>«Do football» invece di «play»; «practice sport» calco; «make sport».</t>
        </is>
      </c>
      <c r="P52" s="56" t="inlineStr">
        <is>
          <t>Da sviluppare</t>
        </is>
      </c>
      <c r="Q52" s="56" t="inlineStr">
        <is>
          <t>Tempo libero e hobby</t>
        </is>
      </c>
    </row>
    <row r="53" ht="27.75" customHeight="1" s="40">
      <c r="A53" s="46" t="inlineStr">
        <is>
          <t>GRA-A2-012</t>
        </is>
      </c>
      <c r="B53" s="47" t="inlineStr">
        <is>
          <t>Grammatica</t>
        </is>
      </c>
      <c r="C53" s="56" t="inlineStr">
        <is>
          <t>Regola ed esercizi</t>
        </is>
      </c>
      <c r="D53" s="56" t="inlineStr">
        <is>
          <t>Verbi + preposizioni: listen to, wait for, depend on</t>
        </is>
      </c>
      <c r="E53" s="56" t="inlineStr">
        <is>
          <t>Regola spiegata in parole semplici, strutture (affermativa, negativa, interrogativa), esempi con traduzione, confronto con l'italiano ed esercizi progressivi.</t>
        </is>
      </c>
      <c r="F53" s="58" t="inlineStr">
        <is>
          <t>A2</t>
        </is>
      </c>
      <c r="G53" s="55" t="inlineStr">
        <is>
          <t>Media</t>
        </is>
      </c>
      <c r="H53" s="46" t="n">
        <v>49</v>
      </c>
      <c r="I53" s="56" t="inlineStr">
        <is>
          <t>GRA-A2-011</t>
        </is>
      </c>
      <c r="J53" s="56" t="inlineStr">
        <is>
          <t>Memorizzare le combinazioni verbo+preposizione che non coincidono con l'italiano.</t>
        </is>
      </c>
      <c r="K53" s="56" t="inlineStr">
        <is>
          <t>Grammatica, Lettura</t>
        </is>
      </c>
      <c r="L53" s="46" t="n">
        <v>12</v>
      </c>
      <c r="M53" s="56" t="inlineStr">
        <is>
          <t>VOC-A2-004</t>
        </is>
      </c>
      <c r="N53" s="56" t="inlineStr">
        <is>
          <t>VOC-A2-005</t>
        </is>
      </c>
      <c r="O53" s="56" t="inlineStr">
        <is>
          <t>«Listen music» senza to; «wait him» senza for; «depend by»; «married with».</t>
        </is>
      </c>
      <c r="P53" s="56" t="inlineStr">
        <is>
          <t>Da sviluppare</t>
        </is>
      </c>
      <c r="Q53" s="56" t="inlineStr">
        <is>
          <t>Verbi e preposizioni</t>
        </is>
      </c>
    </row>
    <row r="54" ht="42" customHeight="1" s="40">
      <c r="A54" s="46" t="inlineStr">
        <is>
          <t>VOC-A2-005</t>
        </is>
      </c>
      <c r="B54" s="54" t="inlineStr">
        <is>
          <t>Vocabolario</t>
        </is>
      </c>
      <c r="C54" s="56" t="inlineStr">
        <is>
          <t>Lessico tematico</t>
        </is>
      </c>
      <c r="D54" s="56" t="inlineStr">
        <is>
          <t>Salute, corpo e sintomi</t>
        </is>
      </c>
      <c r="E54" s="56" t="inlineStr">
        <is>
          <t>Parole chiave, espressioni in contesto reale, falsi amici ed errori tipici, quiz di consolidamento.</t>
        </is>
      </c>
      <c r="F54" s="58" t="inlineStr">
        <is>
          <t>A2</t>
        </is>
      </c>
      <c r="G54" s="55" t="inlineStr">
        <is>
          <t>Media</t>
        </is>
      </c>
      <c r="H54" s="46" t="n">
        <v>50</v>
      </c>
      <c r="I54" s="56" t="inlineStr">
        <is>
          <t>VOC-A2-004</t>
        </is>
      </c>
      <c r="J54" s="56" t="inlineStr">
        <is>
          <t>Descrivere parti del corpo, sintomi e piccoli disturbi.</t>
        </is>
      </c>
      <c r="K54" s="56" t="inlineStr">
        <is>
          <t>Lessico, Lettura</t>
        </is>
      </c>
      <c r="L54" s="46" t="n">
        <v>12</v>
      </c>
      <c r="M54" s="56" t="inlineStr">
        <is>
          <t>GRA-A2-012</t>
        </is>
      </c>
      <c r="N54" s="56" t="inlineStr">
        <is>
          <t>COM-A2-006</t>
        </is>
      </c>
      <c r="O54" s="56" t="inlineStr">
        <is>
          <t>«I have pain to the head» invece di «My head hurts / I have a headache»; ill vs sick vs hurt.</t>
        </is>
      </c>
      <c r="P54" s="56" t="inlineStr">
        <is>
          <t>Da sviluppare</t>
        </is>
      </c>
      <c r="Q54" s="56" t="inlineStr">
        <is>
          <t>Salute e corpo</t>
        </is>
      </c>
    </row>
    <row r="55" ht="27.75" customHeight="1" s="40">
      <c r="A55" s="46" t="inlineStr">
        <is>
          <t>COM-A2-006</t>
        </is>
      </c>
      <c r="B55" s="51" t="inlineStr">
        <is>
          <t>Comunicazione</t>
        </is>
      </c>
      <c r="C55" s="56" t="inlineStr">
        <is>
          <t>Produzione Libera</t>
        </is>
      </c>
      <c r="D55" s="56" t="inlineStr">
        <is>
          <t>Scrivere un messaggio e una e-mail semplice</t>
        </is>
      </c>
      <c r="E55" s="56" t="inlineStr">
        <is>
          <t>Consegna reale da svolgere in autonomia (parlata o scritta), checklist di qualità e feedback mirato.</t>
        </is>
      </c>
      <c r="F55" s="58" t="inlineStr">
        <is>
          <t>A2</t>
        </is>
      </c>
      <c r="G55" s="55" t="inlineStr">
        <is>
          <t>Media</t>
        </is>
      </c>
      <c r="H55" s="46" t="n">
        <v>51</v>
      </c>
      <c r="I55" s="56" t="inlineStr">
        <is>
          <t>COM-A2-003</t>
        </is>
      </c>
      <c r="J55" s="56" t="inlineStr">
        <is>
          <t>Scrivere in autonomia brevi messaggi e e-mail informali con aperture e chiusure corrette.</t>
        </is>
      </c>
      <c r="K55" s="56" t="inlineStr">
        <is>
          <t>Scrittura, Speaking</t>
        </is>
      </c>
      <c r="L55" s="46" t="n">
        <v>20</v>
      </c>
      <c r="M55" s="56" t="inlineStr">
        <is>
          <t>VOC-A2-005</t>
        </is>
      </c>
      <c r="N55" s="56" t="inlineStr">
        <is>
          <t>GRA-B1-001</t>
        </is>
      </c>
      <c r="O55" s="56" t="inlineStr">
        <is>
          <t>Formule italiane tradotte alla lettera («I attend your answer»); saluti inadatti al mezzo.</t>
        </is>
      </c>
      <c r="P55" s="56" t="inlineStr">
        <is>
          <t>Da sviluppare</t>
        </is>
      </c>
      <c r="Q55" s="56" t="inlineStr">
        <is>
          <t>Scrivere email e messaggi</t>
        </is>
      </c>
    </row>
    <row r="56" ht="42" customHeight="1" s="40">
      <c r="A56" s="46" t="inlineStr">
        <is>
          <t>GRA-B1-001</t>
        </is>
      </c>
      <c r="B56" s="47" t="inlineStr">
        <is>
          <t>Grammatica</t>
        </is>
      </c>
      <c r="C56" s="56" t="inlineStr">
        <is>
          <t>Regola ed esercizi</t>
        </is>
      </c>
      <c r="D56" s="56" t="inlineStr">
        <is>
          <t>Present perfect e past simple a confronto</t>
        </is>
      </c>
      <c r="E56" s="56" t="inlineStr">
        <is>
          <t>Regola spiegata in parole semplici, strutture (affermativa, negativa, interrogativa), esempi con traduzione, confronto con l'italiano ed esercizi progressivi.</t>
        </is>
      </c>
      <c r="F56" s="59" t="inlineStr">
        <is>
          <t>B1</t>
        </is>
      </c>
      <c r="G56" s="57" t="inlineStr">
        <is>
          <t>Alta</t>
        </is>
      </c>
      <c r="H56" s="46" t="n">
        <v>52</v>
      </c>
      <c r="I56" s="56" t="inlineStr">
        <is>
          <t>GRA-A2-012, GRA-A2-007</t>
        </is>
      </c>
      <c r="J56" s="56" t="inlineStr">
        <is>
          <t>Scegliere il tempo corretto in base al collegamento con il presente, superando il calco del passato prossimo.</t>
        </is>
      </c>
      <c r="K56" s="56" t="inlineStr">
        <is>
          <t>Grammatica, Lettura</t>
        </is>
      </c>
      <c r="L56" s="46" t="n">
        <v>18</v>
      </c>
      <c r="M56" s="56" t="inlineStr">
        <is>
          <t>COM-A2-006</t>
        </is>
      </c>
      <c r="N56" s="56" t="inlineStr">
        <is>
          <t>GRA-B1-002</t>
        </is>
      </c>
      <c r="O56" s="56" t="inlineStr">
        <is>
          <t>«I have seen him yesterday»; present perfect con espressioni di tempo concluso (last week, in 2010).</t>
        </is>
      </c>
      <c r="P56" s="56" t="inlineStr">
        <is>
          <t>Da sviluppare</t>
        </is>
      </c>
      <c r="Q56" s="56" t="inlineStr">
        <is>
          <t>Present perfect</t>
        </is>
      </c>
    </row>
    <row r="57" ht="27.75" customHeight="1" s="40">
      <c r="A57" s="46" t="inlineStr">
        <is>
          <t>GRA-B1-002</t>
        </is>
      </c>
      <c r="B57" s="47" t="inlineStr">
        <is>
          <t>Grammatica</t>
        </is>
      </c>
      <c r="C57" s="56" t="inlineStr">
        <is>
          <t>Regola ed esercizi</t>
        </is>
      </c>
      <c r="D57" s="56" t="inlineStr">
        <is>
          <t>Present perfect continuous</t>
        </is>
      </c>
      <c r="E57" s="56" t="inlineStr">
        <is>
          <t>Regola spiegata in parole semplici, strutture (affermativa, negativa, interrogativa), esempi con traduzione, confronto con l'italiano ed esercizi progressivi.</t>
        </is>
      </c>
      <c r="F57" s="59" t="inlineStr">
        <is>
          <t>B1</t>
        </is>
      </c>
      <c r="G57" s="57" t="inlineStr">
        <is>
          <t>Alta</t>
        </is>
      </c>
      <c r="H57" s="46" t="n">
        <v>53</v>
      </c>
      <c r="I57" s="56" t="inlineStr">
        <is>
          <t>GRA-B1-001</t>
        </is>
      </c>
      <c r="J57" s="56" t="inlineStr">
        <is>
          <t>Esprimere la durata di azioni iniziate nel passato con for/since.</t>
        </is>
      </c>
      <c r="K57" s="56" t="inlineStr">
        <is>
          <t>Grammatica, Lettura</t>
        </is>
      </c>
      <c r="L57" s="46" t="n">
        <v>15</v>
      </c>
      <c r="M57" s="56" t="inlineStr">
        <is>
          <t>GRA-B1-001</t>
        </is>
      </c>
      <c r="N57" s="56" t="inlineStr">
        <is>
          <t>GRA-B1-003</t>
        </is>
      </c>
      <c r="O57" s="56" t="inlineStr">
        <is>
          <t>«I am living here since 2010» invece di «I have been living»; confondere for e since.</t>
        </is>
      </c>
      <c r="P57" s="56" t="inlineStr">
        <is>
          <t>Da sviluppare</t>
        </is>
      </c>
      <c r="Q57" s="56" t="inlineStr">
        <is>
          <t>Present perfect</t>
        </is>
      </c>
    </row>
    <row r="58" ht="42" customHeight="1" s="40">
      <c r="A58" s="46" t="inlineStr">
        <is>
          <t>GRA-B1-003</t>
        </is>
      </c>
      <c r="B58" s="47" t="inlineStr">
        <is>
          <t>Grammatica</t>
        </is>
      </c>
      <c r="C58" s="56" t="inlineStr">
        <is>
          <t>Regola ed esercizi</t>
        </is>
      </c>
      <c r="D58" s="56" t="inlineStr">
        <is>
          <t>Past perfect</t>
        </is>
      </c>
      <c r="E58" s="56" t="inlineStr">
        <is>
          <t>Regola spiegata in parole semplici, strutture (affermativa, negativa, interrogativa), esempi con traduzione, confronto con l'italiano ed esercizi progressivi.</t>
        </is>
      </c>
      <c r="F58" s="59" t="inlineStr">
        <is>
          <t>B1</t>
        </is>
      </c>
      <c r="G58" s="55" t="inlineStr">
        <is>
          <t>Media</t>
        </is>
      </c>
      <c r="H58" s="46" t="n">
        <v>54</v>
      </c>
      <c r="I58" s="56" t="inlineStr">
        <is>
          <t>GRA-B1-002</t>
        </is>
      </c>
      <c r="J58" s="56" t="inlineStr">
        <is>
          <t>Ordinare eventi passati indicando quale è avvenuto prima.</t>
        </is>
      </c>
      <c r="K58" s="56" t="inlineStr">
        <is>
          <t>Grammatica, Lettura</t>
        </is>
      </c>
      <c r="L58" s="46" t="n">
        <v>15</v>
      </c>
      <c r="M58" s="56" t="inlineStr">
        <is>
          <t>GRA-B1-002</t>
        </is>
      </c>
      <c r="N58" s="56" t="inlineStr">
        <is>
          <t>GRA-B1-004</t>
        </is>
      </c>
      <c r="O58" s="56" t="inlineStr">
        <is>
          <t>Usarlo dove basta il past simple; calco automatico del trapassato prossimo italiano.</t>
        </is>
      </c>
      <c r="P58" s="56" t="inlineStr">
        <is>
          <t>Da sviluppare</t>
        </is>
      </c>
      <c r="Q58" s="56" t="inlineStr">
        <is>
          <t>Past perfect</t>
        </is>
      </c>
    </row>
    <row r="59" ht="27.75" customHeight="1" s="40">
      <c r="A59" s="46" t="inlineStr">
        <is>
          <t>GRA-B1-004</t>
        </is>
      </c>
      <c r="B59" s="47" t="inlineStr">
        <is>
          <t>Grammatica</t>
        </is>
      </c>
      <c r="C59" s="56" t="inlineStr">
        <is>
          <t>Regola ed esercizi</t>
        </is>
      </c>
      <c r="D59" s="56" t="inlineStr">
        <is>
          <t>I tempi narrativi: raccontare una storia</t>
        </is>
      </c>
      <c r="E59" s="56" t="inlineStr">
        <is>
          <t>Regola spiegata in parole semplici, strutture (affermativa, negativa, interrogativa), esempi con traduzione, confronto con l'italiano ed esercizi progressivi.</t>
        </is>
      </c>
      <c r="F59" s="59" t="inlineStr">
        <is>
          <t>B1</t>
        </is>
      </c>
      <c r="G59" s="57" t="inlineStr">
        <is>
          <t>Alta</t>
        </is>
      </c>
      <c r="H59" s="46" t="n">
        <v>55</v>
      </c>
      <c r="I59" s="56" t="inlineStr">
        <is>
          <t>GRA-B1-003</t>
        </is>
      </c>
      <c r="J59" s="56" t="inlineStr">
        <is>
          <t>Combinare past simple, past continuous e past perfect in un racconto coerente.</t>
        </is>
      </c>
      <c r="K59" s="56" t="inlineStr">
        <is>
          <t>Grammatica, Lettura</t>
        </is>
      </c>
      <c r="L59" s="46" t="n">
        <v>18</v>
      </c>
      <c r="M59" s="56" t="inlineStr">
        <is>
          <t>GRA-B1-003</t>
        </is>
      </c>
      <c r="N59" s="56" t="inlineStr">
        <is>
          <t>COM-B1-004</t>
        </is>
      </c>
      <c r="O59" s="56" t="inlineStr">
        <is>
          <t>Mescolare i tempi nel racconto; tradurre ogni imperfetto con il past continuous.</t>
        </is>
      </c>
      <c r="P59" s="56" t="inlineStr">
        <is>
          <t>Da sviluppare</t>
        </is>
      </c>
      <c r="Q59" s="56" t="inlineStr">
        <is>
          <t>Tempi narrativi</t>
        </is>
      </c>
    </row>
    <row r="60" ht="27.75" customHeight="1" s="40">
      <c r="A60" s="46" t="inlineStr">
        <is>
          <t>COM-B1-004</t>
        </is>
      </c>
      <c r="B60" s="51" t="inlineStr">
        <is>
          <t>Comunicazione</t>
        </is>
      </c>
      <c r="C60" s="56" t="inlineStr">
        <is>
          <t>Produzione Libera</t>
        </is>
      </c>
      <c r="D60" s="56" t="inlineStr">
        <is>
          <t>Raccontare un'esperienza in modo dettagliato</t>
        </is>
      </c>
      <c r="E60" s="56" t="inlineStr">
        <is>
          <t>Consegna reale da svolgere in autonomia (parlata o scritta), checklist di qualità e feedback mirato.</t>
        </is>
      </c>
      <c r="F60" s="59" t="inlineStr">
        <is>
          <t>B1</t>
        </is>
      </c>
      <c r="G60" s="57" t="inlineStr">
        <is>
          <t>Alta</t>
        </is>
      </c>
      <c r="H60" s="46" t="n">
        <v>56</v>
      </c>
      <c r="I60" s="56" t="inlineStr">
        <is>
          <t>COM-A2-006, GRA-B1-004</t>
        </is>
      </c>
      <c r="J60" s="56" t="inlineStr">
        <is>
          <t>Produrre un racconto autonomo, orale o scritto, con i tempi narrativi e i connettivi.</t>
        </is>
      </c>
      <c r="K60" s="56" t="inlineStr">
        <is>
          <t>Scrittura, Speaking</t>
        </is>
      </c>
      <c r="L60" s="46" t="n">
        <v>20</v>
      </c>
      <c r="M60" s="56" t="inlineStr">
        <is>
          <t>GRA-B1-004</t>
        </is>
      </c>
      <c r="N60" s="56" t="inlineStr">
        <is>
          <t>GRA-B1-005</t>
        </is>
      </c>
      <c r="O60" s="56" t="inlineStr">
        <is>
          <t>Tempi narrativi mescolati; connettivi ripetitivi (then... then... then).</t>
        </is>
      </c>
      <c r="P60" s="56" t="inlineStr">
        <is>
          <t>Da sviluppare</t>
        </is>
      </c>
      <c r="Q60" s="56" t="inlineStr">
        <is>
          <t>Raccontare esperienze</t>
        </is>
      </c>
    </row>
    <row r="61" ht="42" customHeight="1" s="40">
      <c r="A61" s="46" t="inlineStr">
        <is>
          <t>GRA-B1-005</t>
        </is>
      </c>
      <c r="B61" s="47" t="inlineStr">
        <is>
          <t>Grammatica</t>
        </is>
      </c>
      <c r="C61" s="56" t="inlineStr">
        <is>
          <t>Regola ed esercizi</t>
        </is>
      </c>
      <c r="D61" s="56" t="inlineStr">
        <is>
          <t>Used to e would per abitudini passate</t>
        </is>
      </c>
      <c r="E61" s="56" t="inlineStr">
        <is>
          <t>Regola spiegata in parole semplici, strutture (affermativa, negativa, interrogativa), esempi con traduzione, confronto con l'italiano ed esercizi progressivi.</t>
        </is>
      </c>
      <c r="F61" s="59" t="inlineStr">
        <is>
          <t>B1</t>
        </is>
      </c>
      <c r="G61" s="55" t="inlineStr">
        <is>
          <t>Media</t>
        </is>
      </c>
      <c r="H61" s="46" t="n">
        <v>57</v>
      </c>
      <c r="I61" s="56" t="inlineStr">
        <is>
          <t>GRA-B1-004</t>
        </is>
      </c>
      <c r="J61" s="56" t="inlineStr">
        <is>
          <t>Descrivere abitudini e stati del passato che non esistono più.</t>
        </is>
      </c>
      <c r="K61" s="56" t="inlineStr">
        <is>
          <t>Grammatica, Lettura</t>
        </is>
      </c>
      <c r="L61" s="46" t="n">
        <v>12</v>
      </c>
      <c r="M61" s="56" t="inlineStr">
        <is>
          <t>COM-B1-004</t>
        </is>
      </c>
      <c r="N61" s="56" t="inlineStr">
        <is>
          <t>VOC-B1-001</t>
        </is>
      </c>
      <c r="O61" s="56" t="inlineStr">
        <is>
          <t>«I use to go» al presente; confondere used to / be used to / get used to.</t>
        </is>
      </c>
      <c r="P61" s="56" t="inlineStr">
        <is>
          <t>Da sviluppare</t>
        </is>
      </c>
      <c r="Q61" s="56" t="inlineStr">
        <is>
          <t>Used to e would</t>
        </is>
      </c>
    </row>
    <row r="62" ht="42" customHeight="1" s="40">
      <c r="A62" s="46" t="inlineStr">
        <is>
          <t>VOC-B1-001</t>
        </is>
      </c>
      <c r="B62" s="54" t="inlineStr">
        <is>
          <t>Vocabolario</t>
        </is>
      </c>
      <c r="C62" s="56" t="inlineStr">
        <is>
          <t>Lessico tematico</t>
        </is>
      </c>
      <c r="D62" s="56" t="inlineStr">
        <is>
          <t>Phrasal verbs di base</t>
        </is>
      </c>
      <c r="E62" s="56" t="inlineStr">
        <is>
          <t>Parole chiave, espressioni in contesto reale, falsi amici ed errori tipici, quiz di consolidamento.</t>
        </is>
      </c>
      <c r="F62" s="59" t="inlineStr">
        <is>
          <t>B1</t>
        </is>
      </c>
      <c r="G62" s="55" t="inlineStr">
        <is>
          <t>Media</t>
        </is>
      </c>
      <c r="H62" s="46" t="n">
        <v>58</v>
      </c>
      <c r="I62" s="56" t="inlineStr">
        <is>
          <t>VOC-A2-005</t>
        </is>
      </c>
      <c r="J62" s="56" t="inlineStr">
        <is>
          <t>Capire e usare i 20-25 phrasal verbs più frequenti della vita quotidiana.</t>
        </is>
      </c>
      <c r="K62" s="56" t="inlineStr">
        <is>
          <t>Lessico, Lettura</t>
        </is>
      </c>
      <c r="L62" s="46" t="n">
        <v>15</v>
      </c>
      <c r="M62" s="56" t="inlineStr">
        <is>
          <t>GRA-B1-005</t>
        </is>
      </c>
      <c r="N62" s="56" t="inlineStr">
        <is>
          <t>GRA-B1-006</t>
        </is>
      </c>
      <c r="O62" s="56" t="inlineStr">
        <is>
          <t>Preferire verbi «latini» innaturali (extinguish per put out); posizione del pronome («turn on it»).</t>
        </is>
      </c>
      <c r="P62" s="56" t="inlineStr">
        <is>
          <t>Da sviluppare</t>
        </is>
      </c>
      <c r="Q62" s="56" t="inlineStr">
        <is>
          <t>Phrasal verbs e collocazioni</t>
        </is>
      </c>
    </row>
    <row r="63" ht="42" customHeight="1" s="40">
      <c r="A63" s="46" t="inlineStr">
        <is>
          <t>GRA-B1-006</t>
        </is>
      </c>
      <c r="B63" s="47" t="inlineStr">
        <is>
          <t>Grammatica</t>
        </is>
      </c>
      <c r="C63" s="56" t="inlineStr">
        <is>
          <t>Regola ed esercizi</t>
        </is>
      </c>
      <c r="D63" s="56" t="inlineStr">
        <is>
          <t>Second conditional</t>
        </is>
      </c>
      <c r="E63" s="56" t="inlineStr">
        <is>
          <t>Regola spiegata in parole semplici, strutture (affermativa, negativa, interrogativa), esempi con traduzione, confronto con l'italiano ed esercizi progressivi.</t>
        </is>
      </c>
      <c r="F63" s="59" t="inlineStr">
        <is>
          <t>B1</t>
        </is>
      </c>
      <c r="G63" s="55" t="inlineStr">
        <is>
          <t>Media</t>
        </is>
      </c>
      <c r="H63" s="46" t="n">
        <v>59</v>
      </c>
      <c r="I63" s="56" t="inlineStr">
        <is>
          <t>GRA-B1-005</t>
        </is>
      </c>
      <c r="J63" s="56" t="inlineStr">
        <is>
          <t>Parlare di situazioni ipotetiche o improbabili con if + past simple + would.</t>
        </is>
      </c>
      <c r="K63" s="56" t="inlineStr">
        <is>
          <t>Grammatica, Lettura</t>
        </is>
      </c>
      <c r="L63" s="46" t="n">
        <v>15</v>
      </c>
      <c r="M63" s="56" t="inlineStr">
        <is>
          <t>VOC-B1-001</t>
        </is>
      </c>
      <c r="N63" s="56" t="inlineStr">
        <is>
          <t>GRA-B1-007</t>
        </is>
      </c>
      <c r="O63" s="56" t="inlineStr">
        <is>
          <t>«If I would have money» (would nella if-clause); «If I was» vs «If I were» nel registro formale.</t>
        </is>
      </c>
      <c r="P63" s="56" t="inlineStr">
        <is>
          <t>Da sviluppare</t>
        </is>
      </c>
      <c r="Q63" s="56" t="inlineStr">
        <is>
          <t>Periodo ipotetico</t>
        </is>
      </c>
    </row>
    <row r="64" ht="42" customHeight="1" s="40">
      <c r="A64" s="46" t="inlineStr">
        <is>
          <t>GRA-B1-007</t>
        </is>
      </c>
      <c r="B64" s="47" t="inlineStr">
        <is>
          <t>Grammatica</t>
        </is>
      </c>
      <c r="C64" s="56" t="inlineStr">
        <is>
          <t>Regola ed esercizi</t>
        </is>
      </c>
      <c r="D64" s="56" t="inlineStr">
        <is>
          <t>La forma passiva</t>
        </is>
      </c>
      <c r="E64" s="56" t="inlineStr">
        <is>
          <t>Regola spiegata in parole semplici, strutture (affermativa, negativa, interrogativa), esempi con traduzione, confronto con l'italiano ed esercizi progressivi.</t>
        </is>
      </c>
      <c r="F64" s="59" t="inlineStr">
        <is>
          <t>B1</t>
        </is>
      </c>
      <c r="G64" s="57" t="inlineStr">
        <is>
          <t>Alta</t>
        </is>
      </c>
      <c r="H64" s="46" t="n">
        <v>60</v>
      </c>
      <c r="I64" s="56" t="inlineStr">
        <is>
          <t>GRA-B1-006</t>
        </is>
      </c>
      <c r="J64" s="56" t="inlineStr">
        <is>
          <t>Costruire la passiva nei tempi principali e usarla dove l'italiano preferisce il «si» impersonale.</t>
        </is>
      </c>
      <c r="K64" s="56" t="inlineStr">
        <is>
          <t>Grammatica, Lettura</t>
        </is>
      </c>
      <c r="L64" s="46" t="n">
        <v>18</v>
      </c>
      <c r="M64" s="56" t="inlineStr">
        <is>
          <t>GRA-B1-006</t>
        </is>
      </c>
      <c r="N64" s="56" t="inlineStr">
        <is>
          <t>VOC-B1-002</t>
        </is>
      </c>
      <c r="O64" s="56" t="inlineStr">
        <is>
          <t>Rendere «si dice/si vede» con calchi letterali; dimenticare by; participi errati.</t>
        </is>
      </c>
      <c r="P64" s="56" t="inlineStr">
        <is>
          <t>Da sviluppare</t>
        </is>
      </c>
      <c r="Q64" s="56" t="inlineStr">
        <is>
          <t>Forma passiva</t>
        </is>
      </c>
    </row>
    <row r="65" ht="27.75" customHeight="1" s="40">
      <c r="A65" s="46" t="inlineStr">
        <is>
          <t>VOC-B1-002</t>
        </is>
      </c>
      <c r="B65" s="54" t="inlineStr">
        <is>
          <t>Vocabolario</t>
        </is>
      </c>
      <c r="C65" s="56" t="inlineStr">
        <is>
          <t>Lessico tematico</t>
        </is>
      </c>
      <c r="D65" s="56" t="inlineStr">
        <is>
          <t>Connettivi e linker del discorso</t>
        </is>
      </c>
      <c r="E65" s="56" t="inlineStr">
        <is>
          <t>Parole chiave, espressioni in contesto reale, falsi amici ed errori tipici, quiz di consolidamento.</t>
        </is>
      </c>
      <c r="F65" s="59" t="inlineStr">
        <is>
          <t>B1</t>
        </is>
      </c>
      <c r="G65" s="55" t="inlineStr">
        <is>
          <t>Media</t>
        </is>
      </c>
      <c r="H65" s="46" t="n">
        <v>61</v>
      </c>
      <c r="I65" s="56" t="inlineStr">
        <is>
          <t>VOC-B1-001</t>
        </is>
      </c>
      <c r="J65" s="56" t="inlineStr">
        <is>
          <t>Collegare le idee con however, although, therefore, in addition per testi e discorsi fluidi.</t>
        </is>
      </c>
      <c r="K65" s="56" t="inlineStr">
        <is>
          <t>Lessico, Lettura</t>
        </is>
      </c>
      <c r="L65" s="46" t="n">
        <v>12</v>
      </c>
      <c r="M65" s="56" t="inlineStr">
        <is>
          <t>GRA-B1-007</t>
        </is>
      </c>
      <c r="N65" s="56" t="inlineStr">
        <is>
          <t>COM-B1-003</t>
        </is>
      </c>
      <c r="O65" s="56" t="inlineStr">
        <is>
          <t>«In fact» usato come «infatti» italiano; abuso di but e because; «for» usato come «per» causale.</t>
        </is>
      </c>
      <c r="P65" s="56" t="inlineStr">
        <is>
          <t>Da sviluppare</t>
        </is>
      </c>
      <c r="Q65" s="56" t="inlineStr">
        <is>
          <t>Connettivi del discorso</t>
        </is>
      </c>
    </row>
    <row r="66" ht="42" customHeight="1" s="40">
      <c r="A66" s="46" t="inlineStr">
        <is>
          <t>COM-B1-003</t>
        </is>
      </c>
      <c r="B66" s="51" t="inlineStr">
        <is>
          <t>Comunicazione</t>
        </is>
      </c>
      <c r="C66" s="56" t="inlineStr">
        <is>
          <t>Produzione Guidata</t>
        </is>
      </c>
      <c r="D66" s="56" t="inlineStr">
        <is>
          <t>Esprimere e motivare la propria opinione</t>
        </is>
      </c>
      <c r="E66" s="56" t="inlineStr">
        <is>
          <t>Modello da imitare, scaletta e frasi utili, attività a completamento e feedback sugli errori tipici.</t>
        </is>
      </c>
      <c r="F66" s="59" t="inlineStr">
        <is>
          <t>B1</t>
        </is>
      </c>
      <c r="G66" s="55" t="inlineStr">
        <is>
          <t>Media</t>
        </is>
      </c>
      <c r="H66" s="46" t="n">
        <v>62</v>
      </c>
      <c r="I66" s="56" t="inlineStr">
        <is>
          <t>COM-B1-004, VOC-B1-002</t>
        </is>
      </c>
      <c r="J66" s="56" t="inlineStr">
        <is>
          <t>Dare opinioni, essere d'accordo o in disaccordo con formule appropriate.</t>
        </is>
      </c>
      <c r="K66" s="56" t="inlineStr">
        <is>
          <t>Speaking, Scrittura</t>
        </is>
      </c>
      <c r="L66" s="46" t="n">
        <v>15</v>
      </c>
      <c r="M66" s="56" t="inlineStr">
        <is>
          <t>VOC-B1-002</t>
        </is>
      </c>
      <c r="N66" s="56" t="inlineStr">
        <is>
          <t>GRA-B1-008</t>
        </is>
      </c>
      <c r="O66" s="56" t="inlineStr">
        <is>
          <t>«According to me» invece di «in my opinion»; «I am agree»; disaccordo troppo brusco.</t>
        </is>
      </c>
      <c r="P66" s="56" t="inlineStr">
        <is>
          <t>Da sviluppare</t>
        </is>
      </c>
      <c r="Q66" s="56" t="inlineStr">
        <is>
          <t>Esprimere opinioni</t>
        </is>
      </c>
    </row>
    <row r="67" ht="27.75" customHeight="1" s="40">
      <c r="A67" s="46" t="inlineStr">
        <is>
          <t>GRA-B1-008</t>
        </is>
      </c>
      <c r="B67" s="47" t="inlineStr">
        <is>
          <t>Grammatica</t>
        </is>
      </c>
      <c r="C67" s="56" t="inlineStr">
        <is>
          <t>Regola ed esercizi</t>
        </is>
      </c>
      <c r="D67" s="56" t="inlineStr">
        <is>
          <t>Il discorso indiretto</t>
        </is>
      </c>
      <c r="E67" s="56" t="inlineStr">
        <is>
          <t>Regola spiegata in parole semplici, strutture (affermativa, negativa, interrogativa), esempi con traduzione, confronto con l'italiano ed esercizi progressivi.</t>
        </is>
      </c>
      <c r="F67" s="59" t="inlineStr">
        <is>
          <t>B1</t>
        </is>
      </c>
      <c r="G67" s="57" t="inlineStr">
        <is>
          <t>Alta</t>
        </is>
      </c>
      <c r="H67" s="46" t="n">
        <v>63</v>
      </c>
      <c r="I67" s="56" t="inlineStr">
        <is>
          <t>GRA-B1-007</t>
        </is>
      </c>
      <c r="J67" s="56" t="inlineStr">
        <is>
          <t>Riportare parole e domande altrui con l'arretramento dei tempi e dei riferimenti.</t>
        </is>
      </c>
      <c r="K67" s="56" t="inlineStr">
        <is>
          <t>Grammatica, Lettura</t>
        </is>
      </c>
      <c r="L67" s="46" t="n">
        <v>18</v>
      </c>
      <c r="M67" s="56" t="inlineStr">
        <is>
          <t>COM-B1-003</t>
        </is>
      </c>
      <c r="N67" s="56" t="inlineStr">
        <is>
          <t>GRA-B1-009</t>
        </is>
      </c>
      <c r="O67" s="56" t="inlineStr">
        <is>
          <t>Non arretrare i tempi; «He said me» invece di «He told me»; ordine errato nelle domande riportate.</t>
        </is>
      </c>
      <c r="P67" s="56" t="inlineStr">
        <is>
          <t>Da sviluppare</t>
        </is>
      </c>
      <c r="Q67" s="56" t="inlineStr">
        <is>
          <t>Discorso indiretto</t>
        </is>
      </c>
    </row>
    <row r="68" ht="42" customHeight="1" s="40">
      <c r="A68" s="46" t="inlineStr">
        <is>
          <t>GRA-B1-009</t>
        </is>
      </c>
      <c r="B68" s="47" t="inlineStr">
        <is>
          <t>Grammatica</t>
        </is>
      </c>
      <c r="C68" s="56" t="inlineStr">
        <is>
          <t>Regola ed esercizi</t>
        </is>
      </c>
      <c r="D68" s="56" t="inlineStr">
        <is>
          <t>Le frasi relative: who, which, that</t>
        </is>
      </c>
      <c r="E68" s="56" t="inlineStr">
        <is>
          <t>Regola spiegata in parole semplici, strutture (affermativa, negativa, interrogativa), esempi con traduzione, confronto con l'italiano ed esercizi progressivi.</t>
        </is>
      </c>
      <c r="F68" s="59" t="inlineStr">
        <is>
          <t>B1</t>
        </is>
      </c>
      <c r="G68" s="55" t="inlineStr">
        <is>
          <t>Media</t>
        </is>
      </c>
      <c r="H68" s="46" t="n">
        <v>64</v>
      </c>
      <c r="I68" s="56" t="inlineStr">
        <is>
          <t>GRA-B1-008</t>
        </is>
      </c>
      <c r="J68" s="56" t="inlineStr">
        <is>
          <t>Collegare frasi con i pronomi relativi corretti e omettere il pronome quando possibile.</t>
        </is>
      </c>
      <c r="K68" s="56" t="inlineStr">
        <is>
          <t>Grammatica, Lettura</t>
        </is>
      </c>
      <c r="L68" s="46" t="n">
        <v>15</v>
      </c>
      <c r="M68" s="56" t="inlineStr">
        <is>
          <t>GRA-B1-008</t>
        </is>
      </c>
      <c r="N68" s="56" t="inlineStr">
        <is>
          <t>GRA-B1-010</t>
        </is>
      </c>
      <c r="O68" s="56" t="inlineStr">
        <is>
          <t>«The man which...»; «all what I said» invece di «all (that) I said»; non omettere mai il pronome.</t>
        </is>
      </c>
      <c r="P68" s="56" t="inlineStr">
        <is>
          <t>Da sviluppare</t>
        </is>
      </c>
      <c r="Q68" s="56" t="inlineStr">
        <is>
          <t>Frasi relative</t>
        </is>
      </c>
    </row>
    <row r="69" ht="42" customHeight="1" s="40">
      <c r="A69" s="46" t="inlineStr">
        <is>
          <t>GRA-B1-010</t>
        </is>
      </c>
      <c r="B69" s="47" t="inlineStr">
        <is>
          <t>Grammatica</t>
        </is>
      </c>
      <c r="C69" s="56" t="inlineStr">
        <is>
          <t>Regola ed esercizi</t>
        </is>
      </c>
      <c r="D69" s="56" t="inlineStr">
        <is>
          <t>Gerundio o infinito dopo i verbi</t>
        </is>
      </c>
      <c r="E69" s="56" t="inlineStr">
        <is>
          <t>Regola spiegata in parole semplici, strutture (affermativa, negativa, interrogativa), esempi con traduzione, confronto con l'italiano ed esercizi progressivi.</t>
        </is>
      </c>
      <c r="F69" s="59" t="inlineStr">
        <is>
          <t>B1</t>
        </is>
      </c>
      <c r="G69" s="57" t="inlineStr">
        <is>
          <t>Alta</t>
        </is>
      </c>
      <c r="H69" s="46" t="n">
        <v>65</v>
      </c>
      <c r="I69" s="56" t="inlineStr">
        <is>
          <t>GRA-B1-009</t>
        </is>
      </c>
      <c r="J69" s="56" t="inlineStr">
        <is>
          <t>Scegliere tra -ing e to + infinito dopo i verbi più comuni, anche quando cambia il significato.</t>
        </is>
      </c>
      <c r="K69" s="56" t="inlineStr">
        <is>
          <t>Grammatica, Lettura</t>
        </is>
      </c>
      <c r="L69" s="46" t="n">
        <v>15</v>
      </c>
      <c r="M69" s="56" t="inlineStr">
        <is>
          <t>GRA-B1-009</t>
        </is>
      </c>
      <c r="N69" s="56" t="inlineStr">
        <is>
          <t>COM-B1-001</t>
        </is>
      </c>
      <c r="O69" s="56" t="inlineStr">
        <is>
          <t>«I enjoy to read»; «stop to smoke» vs «stop smoking»; «I look forward to see you».</t>
        </is>
      </c>
      <c r="P69" s="56" t="inlineStr">
        <is>
          <t>Da sviluppare</t>
        </is>
      </c>
      <c r="Q69" s="56" t="inlineStr">
        <is>
          <t>Gerundio e infinito</t>
        </is>
      </c>
    </row>
    <row r="70" ht="27.75" customHeight="1" s="40">
      <c r="A70" s="46" t="inlineStr">
        <is>
          <t>COM-B1-001</t>
        </is>
      </c>
      <c r="B70" s="51" t="inlineStr">
        <is>
          <t>Comunicazione</t>
        </is>
      </c>
      <c r="C70" s="56" t="inlineStr">
        <is>
          <t>Dialogo</t>
        </is>
      </c>
      <c r="D70" s="56" t="inlineStr">
        <is>
          <t>Colloquio di lavoro: domande e risposte</t>
        </is>
      </c>
      <c r="E70" s="56" t="inlineStr">
        <is>
          <t>Scenario realistico con dialogo modello, espressioni utili, simulazione interattiva a scelte e feedback finale.</t>
        </is>
      </c>
      <c r="F70" s="59" t="inlineStr">
        <is>
          <t>B1</t>
        </is>
      </c>
      <c r="G70" s="57" t="inlineStr">
        <is>
          <t>Alta</t>
        </is>
      </c>
      <c r="H70" s="46" t="n">
        <v>66</v>
      </c>
      <c r="I70" s="56" t="inlineStr">
        <is>
          <t>COM-B1-003, VOC-A2-002</t>
        </is>
      </c>
      <c r="J70" s="56" t="inlineStr">
        <is>
          <t>Rispondere alle domande tipiche di un colloquio presentando esperienze e competenze.</t>
        </is>
      </c>
      <c r="K70" s="56" t="inlineStr">
        <is>
          <t>Speaking, Lettura</t>
        </is>
      </c>
      <c r="L70" s="46" t="n">
        <v>20</v>
      </c>
      <c r="M70" s="56" t="inlineStr">
        <is>
          <t>GRA-B1-010</t>
        </is>
      </c>
      <c r="N70" s="56" t="inlineStr">
        <is>
          <t>VOC-B1-003</t>
        </is>
      </c>
      <c r="O70" s="56" t="inlineStr">
        <is>
          <t>«Actually» per «attualmente» (currently); «formation» per «formazione» (training/education).</t>
        </is>
      </c>
      <c r="P70" s="56" t="inlineStr">
        <is>
          <t>Da sviluppare</t>
        </is>
      </c>
      <c r="Q70" s="56" t="inlineStr">
        <is>
          <t>Lavoro e ambito professionale</t>
        </is>
      </c>
    </row>
    <row r="71" ht="27.75" customHeight="1" s="40">
      <c r="A71" s="46" t="inlineStr">
        <is>
          <t>VOC-B1-003</t>
        </is>
      </c>
      <c r="B71" s="54" t="inlineStr">
        <is>
          <t>Vocabolario</t>
        </is>
      </c>
      <c r="C71" s="56" t="inlineStr">
        <is>
          <t>Lessico tematico</t>
        </is>
      </c>
      <c r="D71" s="56" t="inlineStr">
        <is>
          <t>Falsi amici intermedi</t>
        </is>
      </c>
      <c r="E71" s="56" t="inlineStr">
        <is>
          <t>Parole chiave, espressioni in contesto reale, falsi amici ed errori tipici, quiz di consolidamento.</t>
        </is>
      </c>
      <c r="F71" s="59" t="inlineStr">
        <is>
          <t>B1</t>
        </is>
      </c>
      <c r="G71" s="55" t="inlineStr">
        <is>
          <t>Media</t>
        </is>
      </c>
      <c r="H71" s="46" t="n">
        <v>67</v>
      </c>
      <c r="I71" s="56" t="inlineStr">
        <is>
          <t>VOC-B1-002</t>
        </is>
      </c>
      <c r="J71" s="56" t="inlineStr">
        <is>
          <t>Ampliare il repertorio di falsi amici che generano fraintendimenti a livello intermedio.</t>
        </is>
      </c>
      <c r="K71" s="56" t="inlineStr">
        <is>
          <t>Lessico, Lettura</t>
        </is>
      </c>
      <c r="L71" s="46" t="n">
        <v>12</v>
      </c>
      <c r="M71" s="56" t="inlineStr">
        <is>
          <t>COM-B1-001</t>
        </is>
      </c>
      <c r="N71" s="56" t="inlineStr">
        <is>
          <t>COM-B1-002</t>
        </is>
      </c>
      <c r="O71" s="56" t="inlineStr">
        <is>
          <t>Pretend≠pretendere; morbid≠morbido; annoyed≠annoiato; comprehensive≠comprensivo; educated≠educato.</t>
        </is>
      </c>
      <c r="P71" s="56" t="inlineStr">
        <is>
          <t>Da sviluppare</t>
        </is>
      </c>
      <c r="Q71" s="56" t="inlineStr">
        <is>
          <t>Falsi amici</t>
        </is>
      </c>
    </row>
    <row r="72" ht="42" customHeight="1" s="40">
      <c r="A72" s="46" t="inlineStr">
        <is>
          <t>COM-B1-002</t>
        </is>
      </c>
      <c r="B72" s="51" t="inlineStr">
        <is>
          <t>Comunicazione</t>
        </is>
      </c>
      <c r="C72" s="56" t="inlineStr">
        <is>
          <t>Dialogo</t>
        </is>
      </c>
      <c r="D72" s="56" t="inlineStr">
        <is>
          <t>Dal medico: descrivere sintomi e problemi</t>
        </is>
      </c>
      <c r="E72" s="56" t="inlineStr">
        <is>
          <t>Scenario realistico con dialogo modello, espressioni utili, simulazione interattiva a scelte e feedback finale.</t>
        </is>
      </c>
      <c r="F72" s="59" t="inlineStr">
        <is>
          <t>B1</t>
        </is>
      </c>
      <c r="G72" s="55" t="inlineStr">
        <is>
          <t>Media</t>
        </is>
      </c>
      <c r="H72" s="46" t="n">
        <v>68</v>
      </c>
      <c r="I72" s="56" t="inlineStr">
        <is>
          <t>COM-B1-001, VOC-A2-005</t>
        </is>
      </c>
      <c r="J72" s="56" t="inlineStr">
        <is>
          <t>Spiegare sintomi, capire indicazioni e gestire una visita medica.</t>
        </is>
      </c>
      <c r="K72" s="56" t="inlineStr">
        <is>
          <t>Speaking, Lettura</t>
        </is>
      </c>
      <c r="L72" s="46" t="n">
        <v>15</v>
      </c>
      <c r="M72" s="56" t="inlineStr">
        <is>
          <t>VOC-B1-003</t>
        </is>
      </c>
      <c r="N72" s="56" t="inlineStr">
        <is>
          <t>GRA-B1-011</t>
        </is>
      </c>
      <c r="O72" s="56" t="inlineStr">
        <is>
          <t>«I have pain to the leg»; «recipe» per «ricetta medica» (prescription).</t>
        </is>
      </c>
      <c r="P72" s="56" t="inlineStr">
        <is>
          <t>Da sviluppare</t>
        </is>
      </c>
      <c r="Q72" s="56" t="inlineStr">
        <is>
          <t>Salute ed emergenze</t>
        </is>
      </c>
    </row>
    <row r="73" ht="42" customHeight="1" s="40">
      <c r="A73" s="46" t="inlineStr">
        <is>
          <t>GRA-B1-011</t>
        </is>
      </c>
      <c r="B73" s="47" t="inlineStr">
        <is>
          <t>Grammatica</t>
        </is>
      </c>
      <c r="C73" s="56" t="inlineStr">
        <is>
          <t>Regola ed esercizi</t>
        </is>
      </c>
      <c r="D73" s="56" t="inlineStr">
        <is>
          <t>Question tags e domande indirette</t>
        </is>
      </c>
      <c r="E73" s="56" t="inlineStr">
        <is>
          <t>Regola spiegata in parole semplici, strutture (affermativa, negativa, interrogativa), esempi con traduzione, confronto con l'italiano ed esercizi progressivi.</t>
        </is>
      </c>
      <c r="F73" s="59" t="inlineStr">
        <is>
          <t>B1</t>
        </is>
      </c>
      <c r="G73" s="57" t="inlineStr">
        <is>
          <t>Alta</t>
        </is>
      </c>
      <c r="H73" s="46" t="n">
        <v>69</v>
      </c>
      <c r="I73" s="56" t="inlineStr">
        <is>
          <t>GRA-B1-010</t>
        </is>
      </c>
      <c r="J73" s="56" t="inlineStr">
        <is>
          <t>Confermare informazioni con i tag corretti e formulare domande cortesi indirette.</t>
        </is>
      </c>
      <c r="K73" s="56" t="inlineStr">
        <is>
          <t>Grammatica, Lettura</t>
        </is>
      </c>
      <c r="L73" s="46" t="n">
        <v>15</v>
      </c>
      <c r="M73" s="56" t="inlineStr">
        <is>
          <t>COM-B1-002</t>
        </is>
      </c>
      <c r="N73" s="56" t="inlineStr">
        <is>
          <t>GRA-B1-012</t>
        </is>
      </c>
      <c r="O73" s="56" t="inlineStr">
        <is>
          <t>Tag universale «no?» o «isn't it?» per tutto; «I don't know where is he» (inversione mantenuta).</t>
        </is>
      </c>
      <c r="P73" s="56" t="inlineStr">
        <is>
          <t>Da sviluppare</t>
        </is>
      </c>
      <c r="Q73" s="56" t="inlineStr">
        <is>
          <t>Question tags e domande indirette</t>
        </is>
      </c>
    </row>
    <row r="74" ht="42" customHeight="1" s="40">
      <c r="A74" s="46" t="inlineStr">
        <is>
          <t>GRA-B1-012</t>
        </is>
      </c>
      <c r="B74" s="47" t="inlineStr">
        <is>
          <t>Grammatica</t>
        </is>
      </c>
      <c r="C74" s="56" t="inlineStr">
        <is>
          <t>Regola ed esercizi</t>
        </is>
      </c>
      <c r="D74" s="56" t="inlineStr">
        <is>
          <t>I modali della deduzione: must, might, can't</t>
        </is>
      </c>
      <c r="E74" s="56" t="inlineStr">
        <is>
          <t>Regola spiegata in parole semplici, strutture (affermativa, negativa, interrogativa), esempi con traduzione, confronto con l'italiano ed esercizi progressivi.</t>
        </is>
      </c>
      <c r="F74" s="59" t="inlineStr">
        <is>
          <t>B1</t>
        </is>
      </c>
      <c r="G74" s="55" t="inlineStr">
        <is>
          <t>Media</t>
        </is>
      </c>
      <c r="H74" s="46" t="n">
        <v>70</v>
      </c>
      <c r="I74" s="56" t="inlineStr">
        <is>
          <t>GRA-B1-011</t>
        </is>
      </c>
      <c r="J74" s="56" t="inlineStr">
        <is>
          <t>Esprimere gradi di certezza su fatti presenti («deve essere», «potrebbe essere»).</t>
        </is>
      </c>
      <c r="K74" s="56" t="inlineStr">
        <is>
          <t>Grammatica, Lettura</t>
        </is>
      </c>
      <c r="L74" s="46" t="n">
        <v>12</v>
      </c>
      <c r="M74" s="56" t="inlineStr">
        <is>
          <t>GRA-B1-011</t>
        </is>
      </c>
      <c r="N74" s="56" t="inlineStr">
        <is>
          <t>GRA-B1-013</t>
        </is>
      </c>
      <c r="O74" s="56" t="inlineStr">
        <is>
          <t>Tradurre «deve essere» con have to; usare can invece di might per la possibilità.</t>
        </is>
      </c>
      <c r="P74" s="56" t="inlineStr">
        <is>
          <t>Da sviluppare</t>
        </is>
      </c>
      <c r="Q74" s="56" t="inlineStr">
        <is>
          <t>Verbi modali</t>
        </is>
      </c>
    </row>
    <row r="75" ht="27.75" customHeight="1" s="40">
      <c r="A75" s="46" t="inlineStr">
        <is>
          <t>GRA-B1-013</t>
        </is>
      </c>
      <c r="B75" s="47" t="inlineStr">
        <is>
          <t>Grammatica</t>
        </is>
      </c>
      <c r="C75" s="56" t="inlineStr">
        <is>
          <t>Regola ed esercizi</t>
        </is>
      </c>
      <c r="D75" s="56" t="inlineStr">
        <is>
          <t>Gli articoli: usi avanzati e omissione</t>
        </is>
      </c>
      <c r="E75" s="56" t="inlineStr">
        <is>
          <t>Regola spiegata in parole semplici, strutture (affermativa, negativa, interrogativa), esempi con traduzione, confronto con l'italiano ed esercizi progressivi.</t>
        </is>
      </c>
      <c r="F75" s="59" t="inlineStr">
        <is>
          <t>B1</t>
        </is>
      </c>
      <c r="G75" s="57" t="inlineStr">
        <is>
          <t>Alta</t>
        </is>
      </c>
      <c r="H75" s="46" t="n">
        <v>71</v>
      </c>
      <c r="I75" s="56" t="inlineStr">
        <is>
          <t>GRA-B1-012, GRA-A1-005</t>
        </is>
      </c>
      <c r="J75" s="56" t="inlineStr">
        <is>
          <t>Padroneggiare i casi in cui l'inglese omette l'articolo dove l'italiano lo richiede (e viceversa).</t>
        </is>
      </c>
      <c r="K75" s="56" t="inlineStr">
        <is>
          <t>Grammatica, Lettura</t>
        </is>
      </c>
      <c r="L75" s="46" t="n">
        <v>15</v>
      </c>
      <c r="M75" s="56" t="inlineStr">
        <is>
          <t>GRA-B1-012</t>
        </is>
      </c>
      <c r="N75" s="56" t="inlineStr">
        <is>
          <t>COM-B1-005</t>
        </is>
      </c>
      <c r="O75" s="56" t="inlineStr">
        <is>
          <t>«The society», «the nature» in senso generale; omettere the con i superlativi; «play the football».</t>
        </is>
      </c>
      <c r="P75" s="56" t="inlineStr">
        <is>
          <t>Da sviluppare</t>
        </is>
      </c>
      <c r="Q75" s="56" t="inlineStr">
        <is>
          <t>Articoli</t>
        </is>
      </c>
    </row>
    <row r="76" ht="27.75" customHeight="1" s="40">
      <c r="A76" s="46" t="inlineStr">
        <is>
          <t>COM-B1-005</t>
        </is>
      </c>
      <c r="B76" s="51" t="inlineStr">
        <is>
          <t>Comunicazione</t>
        </is>
      </c>
      <c r="C76" s="56" t="inlineStr">
        <is>
          <t>Produzione Libera</t>
        </is>
      </c>
      <c r="D76" s="56" t="inlineStr">
        <is>
          <t>Scrivere un'e-mail informale</t>
        </is>
      </c>
      <c r="E76" s="56" t="inlineStr">
        <is>
          <t>Consegna reale da svolgere in autonomia (parlata o scritta), checklist di qualità e feedback mirato.</t>
        </is>
      </c>
      <c r="F76" s="59" t="inlineStr">
        <is>
          <t>B1</t>
        </is>
      </c>
      <c r="G76" s="55" t="inlineStr">
        <is>
          <t>Media</t>
        </is>
      </c>
      <c r="H76" s="46" t="n">
        <v>72</v>
      </c>
      <c r="I76" s="56" t="inlineStr">
        <is>
          <t>COM-B1-002, COM-A2-006</t>
        </is>
      </c>
      <c r="J76" s="56" t="inlineStr">
        <is>
          <t>Scrivere e-mail informali complete: invito, ringraziamento, aggiornamento a un amico.</t>
        </is>
      </c>
      <c r="K76" s="56" t="inlineStr">
        <is>
          <t>Scrittura, Speaking</t>
        </is>
      </c>
      <c r="L76" s="46" t="n">
        <v>20</v>
      </c>
      <c r="M76" s="56" t="inlineStr">
        <is>
          <t>GRA-B1-013</t>
        </is>
      </c>
      <c r="N76" s="56" t="inlineStr">
        <is>
          <t>GRA-B2-001</t>
        </is>
      </c>
      <c r="O76" s="56" t="inlineStr">
        <is>
          <t>«I write you for...» calco; chiusure formali fuori luogo in contesto amichevole.</t>
        </is>
      </c>
      <c r="P76" s="56" t="inlineStr">
        <is>
          <t>Da sviluppare</t>
        </is>
      </c>
      <c r="Q76" s="56" t="inlineStr">
        <is>
          <t>Scrivere email e messaggi</t>
        </is>
      </c>
    </row>
    <row r="77" ht="27.75" customHeight="1" s="40">
      <c r="A77" s="46" t="inlineStr">
        <is>
          <t>GRA-B2-001</t>
        </is>
      </c>
      <c r="B77" s="47" t="inlineStr">
        <is>
          <t>Grammatica</t>
        </is>
      </c>
      <c r="C77" s="56" t="inlineStr">
        <is>
          <t>Regola ed esercizi</t>
        </is>
      </c>
      <c r="D77" s="56" t="inlineStr">
        <is>
          <t>Future perfect e future continuous</t>
        </is>
      </c>
      <c r="E77" s="56" t="inlineStr">
        <is>
          <t>Regola spiegata in parole semplici, strutture (affermativa, negativa, interrogativa), esempi con traduzione, confronto con l'italiano ed esercizi progressivi.</t>
        </is>
      </c>
      <c r="F77" s="60" t="inlineStr">
        <is>
          <t>B2</t>
        </is>
      </c>
      <c r="G77" s="57" t="inlineStr">
        <is>
          <t>Alta</t>
        </is>
      </c>
      <c r="H77" s="46" t="n">
        <v>73</v>
      </c>
      <c r="I77" s="56" t="inlineStr">
        <is>
          <t>GRA-B1-013</t>
        </is>
      </c>
      <c r="J77" s="56" t="inlineStr">
        <is>
          <t>Parlare di azioni che saranno concluse o in corso in un momento futuro.</t>
        </is>
      </c>
      <c r="K77" s="56" t="inlineStr">
        <is>
          <t>Grammatica, Lettura</t>
        </is>
      </c>
      <c r="L77" s="46" t="n">
        <v>15</v>
      </c>
      <c r="M77" s="56" t="inlineStr">
        <is>
          <t>COM-B1-005</t>
        </is>
      </c>
      <c r="N77" s="56" t="inlineStr">
        <is>
          <t>GRA-B2-002</t>
        </is>
      </c>
      <c r="O77" s="56" t="inlineStr">
        <is>
          <t>Ignorare queste forme usando will semplice; rendere «entro» con within invece di by.</t>
        </is>
      </c>
      <c r="P77" s="56" t="inlineStr">
        <is>
          <t>Da sviluppare</t>
        </is>
      </c>
      <c r="Q77" s="56" t="inlineStr">
        <is>
          <t>Il futuro</t>
        </is>
      </c>
    </row>
    <row r="78" ht="42" customHeight="1" s="40">
      <c r="A78" s="46" t="inlineStr">
        <is>
          <t>GRA-B2-002</t>
        </is>
      </c>
      <c r="B78" s="47" t="inlineStr">
        <is>
          <t>Grammatica</t>
        </is>
      </c>
      <c r="C78" s="56" t="inlineStr">
        <is>
          <t>Regola ed esercizi</t>
        </is>
      </c>
      <c r="D78" s="56" t="inlineStr">
        <is>
          <t>Third conditional</t>
        </is>
      </c>
      <c r="E78" s="56" t="inlineStr">
        <is>
          <t>Regola spiegata in parole semplici, strutture (affermativa, negativa, interrogativa), esempi con traduzione, confronto con l'italiano ed esercizi progressivi.</t>
        </is>
      </c>
      <c r="F78" s="60" t="inlineStr">
        <is>
          <t>B2</t>
        </is>
      </c>
      <c r="G78" s="57" t="inlineStr">
        <is>
          <t>Alta</t>
        </is>
      </c>
      <c r="H78" s="46" t="n">
        <v>74</v>
      </c>
      <c r="I78" s="56" t="inlineStr">
        <is>
          <t>GRA-B2-001</t>
        </is>
      </c>
      <c r="J78" s="56" t="inlineStr">
        <is>
          <t>Esprimere rimpianti e ipotesi irreali sul passato.</t>
        </is>
      </c>
      <c r="K78" s="56" t="inlineStr">
        <is>
          <t>Grammatica, Lettura</t>
        </is>
      </c>
      <c r="L78" s="46" t="n">
        <v>15</v>
      </c>
      <c r="M78" s="56" t="inlineStr">
        <is>
          <t>GRA-B2-001</t>
        </is>
      </c>
      <c r="N78" s="56" t="inlineStr">
        <is>
          <t>GRA-B2-003</t>
        </is>
      </c>
      <c r="O78" s="56" t="inlineStr">
        <is>
          <t>«If I would have known»; participi passati errati nella main clause.</t>
        </is>
      </c>
      <c r="P78" s="56" t="inlineStr">
        <is>
          <t>Da sviluppare</t>
        </is>
      </c>
      <c r="Q78" s="56" t="inlineStr">
        <is>
          <t>Periodo ipotetico</t>
        </is>
      </c>
    </row>
    <row r="79" ht="42" customHeight="1" s="40">
      <c r="A79" s="46" t="inlineStr">
        <is>
          <t>GRA-B2-003</t>
        </is>
      </c>
      <c r="B79" s="47" t="inlineStr">
        <is>
          <t>Grammatica</t>
        </is>
      </c>
      <c r="C79" s="56" t="inlineStr">
        <is>
          <t>Regola ed esercizi</t>
        </is>
      </c>
      <c r="D79" s="56" t="inlineStr">
        <is>
          <t>Mixed conditionals</t>
        </is>
      </c>
      <c r="E79" s="56" t="inlineStr">
        <is>
          <t>Regola spiegata in parole semplici, strutture (affermativa, negativa, interrogativa), esempi con traduzione, confronto con l'italiano ed esercizi progressivi.</t>
        </is>
      </c>
      <c r="F79" s="60" t="inlineStr">
        <is>
          <t>B2</t>
        </is>
      </c>
      <c r="G79" s="57" t="inlineStr">
        <is>
          <t>Alta</t>
        </is>
      </c>
      <c r="H79" s="46" t="n">
        <v>75</v>
      </c>
      <c r="I79" s="56" t="inlineStr">
        <is>
          <t>GRA-B2-002</t>
        </is>
      </c>
      <c r="J79" s="56" t="inlineStr">
        <is>
          <t>Collegare condizioni passate a conseguenze presenti e viceversa.</t>
        </is>
      </c>
      <c r="K79" s="56" t="inlineStr">
        <is>
          <t>Grammatica, Lettura</t>
        </is>
      </c>
      <c r="L79" s="46" t="n">
        <v>15</v>
      </c>
      <c r="M79" s="56" t="inlineStr">
        <is>
          <t>GRA-B2-002</t>
        </is>
      </c>
      <c r="N79" s="56" t="inlineStr">
        <is>
          <t>GRA-B2-004</t>
        </is>
      </c>
      <c r="O79" s="56" t="inlineStr">
        <is>
          <t>Non mescolare i tempi quando il contesto lo richiede; calchi diretti dall'italiano.</t>
        </is>
      </c>
      <c r="P79" s="56" t="inlineStr">
        <is>
          <t>Da sviluppare</t>
        </is>
      </c>
      <c r="Q79" s="56" t="inlineStr">
        <is>
          <t>Periodo ipotetico</t>
        </is>
      </c>
    </row>
    <row r="80" ht="27.75" customHeight="1" s="40">
      <c r="A80" s="46" t="inlineStr">
        <is>
          <t>GRA-B2-004</t>
        </is>
      </c>
      <c r="B80" s="47" t="inlineStr">
        <is>
          <t>Grammatica</t>
        </is>
      </c>
      <c r="C80" s="56" t="inlineStr">
        <is>
          <t>Regola ed esercizi</t>
        </is>
      </c>
      <c r="D80" s="56" t="inlineStr">
        <is>
          <t>Wish e if only</t>
        </is>
      </c>
      <c r="E80" s="56" t="inlineStr">
        <is>
          <t>Regola spiegata in parole semplici, strutture (affermativa, negativa, interrogativa), esempi con traduzione, confronto con l'italiano ed esercizi progressivi.</t>
        </is>
      </c>
      <c r="F80" s="60" t="inlineStr">
        <is>
          <t>B2</t>
        </is>
      </c>
      <c r="G80" s="57" t="inlineStr">
        <is>
          <t>Alta</t>
        </is>
      </c>
      <c r="H80" s="46" t="n">
        <v>76</v>
      </c>
      <c r="I80" s="56" t="inlineStr">
        <is>
          <t>GRA-B2-003</t>
        </is>
      </c>
      <c r="J80" s="56" t="inlineStr">
        <is>
          <t>Esprimere desideri e rimpianti con i tempi arretrati.</t>
        </is>
      </c>
      <c r="K80" s="56" t="inlineStr">
        <is>
          <t>Grammatica, Lettura</t>
        </is>
      </c>
      <c r="L80" s="46" t="n">
        <v>12</v>
      </c>
      <c r="M80" s="56" t="inlineStr">
        <is>
          <t>GRA-B2-003</t>
        </is>
      </c>
      <c r="N80" s="56" t="inlineStr">
        <is>
          <t>COM-B2-003</t>
        </is>
      </c>
      <c r="O80" s="56" t="inlineStr">
        <is>
          <t>«I wish I have»; confondere I hope (possibile) con I wish (irreale).</t>
        </is>
      </c>
      <c r="P80" s="56" t="inlineStr">
        <is>
          <t>Da sviluppare</t>
        </is>
      </c>
      <c r="Q80" s="56" t="inlineStr">
        <is>
          <t>Periodo ipotetico</t>
        </is>
      </c>
    </row>
    <row r="81" ht="42" customHeight="1" s="40">
      <c r="A81" s="46" t="inlineStr">
        <is>
          <t>COM-B2-003</t>
        </is>
      </c>
      <c r="B81" s="51" t="inlineStr">
        <is>
          <t>Comunicazione</t>
        </is>
      </c>
      <c r="C81" s="56" t="inlineStr">
        <is>
          <t>Produzione Guidata</t>
        </is>
      </c>
      <c r="D81" s="56" t="inlineStr">
        <is>
          <t>Confrontare vantaggi e svantaggi</t>
        </is>
      </c>
      <c r="E81" s="56" t="inlineStr">
        <is>
          <t>Modello da imitare, scaletta e frasi utili, attività a completamento e feedback sugli errori tipici.</t>
        </is>
      </c>
      <c r="F81" s="60" t="inlineStr">
        <is>
          <t>B2</t>
        </is>
      </c>
      <c r="G81" s="55" t="inlineStr">
        <is>
          <t>Media</t>
        </is>
      </c>
      <c r="H81" s="46" t="n">
        <v>77</v>
      </c>
      <c r="I81" s="56" t="inlineStr">
        <is>
          <t>COM-B1-005, VOC-B1-002</t>
        </is>
      </c>
      <c r="J81" s="56" t="inlineStr">
        <is>
          <t>Analizzare pro e contro di un tema con la struttura on the one hand / on the other hand.</t>
        </is>
      </c>
      <c r="K81" s="56" t="inlineStr">
        <is>
          <t>Speaking, Scrittura</t>
        </is>
      </c>
      <c r="L81" s="46" t="n">
        <v>15</v>
      </c>
      <c r="M81" s="56" t="inlineStr">
        <is>
          <t>GRA-B2-004</t>
        </is>
      </c>
      <c r="N81" s="56" t="inlineStr">
        <is>
          <t>GRA-B2-005</t>
        </is>
      </c>
      <c r="O81" s="56" t="inlineStr">
        <is>
          <t>«From one side» calco di «da un lato»; connettivi tradotti letteralmente.</t>
        </is>
      </c>
      <c r="P81" s="56" t="inlineStr">
        <is>
          <t>Da sviluppare</t>
        </is>
      </c>
      <c r="Q81" s="56" t="inlineStr">
        <is>
          <t>Argomentare e discutere</t>
        </is>
      </c>
    </row>
    <row r="82" ht="27.75" customHeight="1" s="40">
      <c r="A82" s="46" t="inlineStr">
        <is>
          <t>GRA-B2-005</t>
        </is>
      </c>
      <c r="B82" s="47" t="inlineStr">
        <is>
          <t>Grammatica</t>
        </is>
      </c>
      <c r="C82" s="56" t="inlineStr">
        <is>
          <t>Regola ed esercizi</t>
        </is>
      </c>
      <c r="D82" s="56" t="inlineStr">
        <is>
          <t>I modali riferiti al passato</t>
        </is>
      </c>
      <c r="E82" s="56" t="inlineStr">
        <is>
          <t>Regola spiegata in parole semplici, strutture (affermativa, negativa, interrogativa), esempi con traduzione, confronto con l'italiano ed esercizi progressivi.</t>
        </is>
      </c>
      <c r="F82" s="60" t="inlineStr">
        <is>
          <t>B2</t>
        </is>
      </c>
      <c r="G82" s="57" t="inlineStr">
        <is>
          <t>Alta</t>
        </is>
      </c>
      <c r="H82" s="46" t="n">
        <v>78</v>
      </c>
      <c r="I82" s="56" t="inlineStr">
        <is>
          <t>GRA-B2-004</t>
        </is>
      </c>
      <c r="J82" s="56" t="inlineStr">
        <is>
          <t>Fare deduzioni e critiche sul passato con must/might/should + have + participio.</t>
        </is>
      </c>
      <c r="K82" s="56" t="inlineStr">
        <is>
          <t>Grammatica, Lettura</t>
        </is>
      </c>
      <c r="L82" s="46" t="n">
        <v>15</v>
      </c>
      <c r="M82" s="56" t="inlineStr">
        <is>
          <t>COM-B2-003</t>
        </is>
      </c>
      <c r="N82" s="56" t="inlineStr">
        <is>
          <t>VOC-B2-001</t>
        </is>
      </c>
      <c r="O82" s="56" t="inlineStr">
        <is>
          <t>«He must have go»; «I could to have done»; evitare la struttura ricorrendo a perifrasi.</t>
        </is>
      </c>
      <c r="P82" s="56" t="inlineStr">
        <is>
          <t>Da sviluppare</t>
        </is>
      </c>
      <c r="Q82" s="56" t="inlineStr">
        <is>
          <t>Verbi modali</t>
        </is>
      </c>
    </row>
    <row r="83" ht="42" customHeight="1" s="40">
      <c r="A83" s="46" t="inlineStr">
        <is>
          <t>VOC-B2-001</t>
        </is>
      </c>
      <c r="B83" s="54" t="inlineStr">
        <is>
          <t>Vocabolario</t>
        </is>
      </c>
      <c r="C83" s="56" t="inlineStr">
        <is>
          <t>Lessico tematico</t>
        </is>
      </c>
      <c r="D83" s="56" t="inlineStr">
        <is>
          <t>Collocazioni e phrasal verbs avanzati</t>
        </is>
      </c>
      <c r="E83" s="56" t="inlineStr">
        <is>
          <t>Parole chiave, espressioni in contesto reale, falsi amici ed errori tipici, quiz di consolidamento.</t>
        </is>
      </c>
      <c r="F83" s="60" t="inlineStr">
        <is>
          <t>B2</t>
        </is>
      </c>
      <c r="G83" s="57" t="inlineStr">
        <is>
          <t>Alta</t>
        </is>
      </c>
      <c r="H83" s="46" t="n">
        <v>79</v>
      </c>
      <c r="I83" s="56" t="inlineStr">
        <is>
          <t>VOC-B1-003</t>
        </is>
      </c>
      <c r="J83" s="56" t="inlineStr">
        <is>
          <t>Usare combinazioni naturali di parole (make/do/take/have) e phrasal verbs meno trasparenti.</t>
        </is>
      </c>
      <c r="K83" s="56" t="inlineStr">
        <is>
          <t>Lessico, Lettura</t>
        </is>
      </c>
      <c r="L83" s="46" t="n">
        <v>15</v>
      </c>
      <c r="M83" s="56" t="inlineStr">
        <is>
          <t>GRA-B2-005</t>
        </is>
      </c>
      <c r="N83" s="56" t="inlineStr">
        <is>
          <t>GRA-B2-006</t>
        </is>
      </c>
      <c r="O83" s="56" t="inlineStr">
        <is>
          <t>«Do a mistake» invece di «make»; «take a coffee»; combinazioni innaturali calcate dall'italiano.</t>
        </is>
      </c>
      <c r="P83" s="56" t="inlineStr">
        <is>
          <t>Da sviluppare</t>
        </is>
      </c>
      <c r="Q83" s="56" t="inlineStr">
        <is>
          <t>Phrasal verbs e collocazioni</t>
        </is>
      </c>
    </row>
    <row r="84" ht="42" customHeight="1" s="40">
      <c r="A84" s="46" t="inlineStr">
        <is>
          <t>GRA-B2-006</t>
        </is>
      </c>
      <c r="B84" s="47" t="inlineStr">
        <is>
          <t>Grammatica</t>
        </is>
      </c>
      <c r="C84" s="56" t="inlineStr">
        <is>
          <t>Regola ed esercizi</t>
        </is>
      </c>
      <c r="D84" s="56" t="inlineStr">
        <is>
          <t>La forma passiva avanzata</t>
        </is>
      </c>
      <c r="E84" s="56" t="inlineStr">
        <is>
          <t>Regola spiegata in parole semplici, strutture (affermativa, negativa, interrogativa), esempi con traduzione, confronto con l'italiano ed esercizi progressivi.</t>
        </is>
      </c>
      <c r="F84" s="60" t="inlineStr">
        <is>
          <t>B2</t>
        </is>
      </c>
      <c r="G84" s="57" t="inlineStr">
        <is>
          <t>Alta</t>
        </is>
      </c>
      <c r="H84" s="46" t="n">
        <v>80</v>
      </c>
      <c r="I84" s="56" t="inlineStr">
        <is>
          <t>GRA-B2-005</t>
        </is>
      </c>
      <c r="J84" s="56" t="inlineStr">
        <is>
          <t>Usare passive con doppio oggetto e strutture impersonali (He is said to...).</t>
        </is>
      </c>
      <c r="K84" s="56" t="inlineStr">
        <is>
          <t>Grammatica, Lettura</t>
        </is>
      </c>
      <c r="L84" s="46" t="n">
        <v>15</v>
      </c>
      <c r="M84" s="56" t="inlineStr">
        <is>
          <t>VOC-B2-001</t>
        </is>
      </c>
      <c r="N84" s="56" t="inlineStr">
        <is>
          <t>GRA-B2-007</t>
        </is>
      </c>
      <c r="O84" s="56" t="inlineStr">
        <is>
          <t>Evitare «I was given...» percepito come errore; non usare «It is said that...» per il «si dice».</t>
        </is>
      </c>
      <c r="P84" s="56" t="inlineStr">
        <is>
          <t>Da sviluppare</t>
        </is>
      </c>
      <c r="Q84" s="56" t="inlineStr">
        <is>
          <t>Forma passiva</t>
        </is>
      </c>
    </row>
    <row r="85" ht="42" customHeight="1" s="40">
      <c r="A85" s="46" t="inlineStr">
        <is>
          <t>GRA-B2-007</t>
        </is>
      </c>
      <c r="B85" s="47" t="inlineStr">
        <is>
          <t>Grammatica</t>
        </is>
      </c>
      <c r="C85" s="56" t="inlineStr">
        <is>
          <t>Regola ed esercizi</t>
        </is>
      </c>
      <c r="D85" s="56" t="inlineStr">
        <is>
          <t>Reporting verbs</t>
        </is>
      </c>
      <c r="E85" s="56" t="inlineStr">
        <is>
          <t>Regola spiegata in parole semplici, strutture (affermativa, negativa, interrogativa), esempi con traduzione, confronto con l'italiano ed esercizi progressivi.</t>
        </is>
      </c>
      <c r="F85" s="60" t="inlineStr">
        <is>
          <t>B2</t>
        </is>
      </c>
      <c r="G85" s="57" t="inlineStr">
        <is>
          <t>Alta</t>
        </is>
      </c>
      <c r="H85" s="46" t="n">
        <v>81</v>
      </c>
      <c r="I85" s="56" t="inlineStr">
        <is>
          <t>GRA-B2-006</t>
        </is>
      </c>
      <c r="J85" s="56" t="inlineStr">
        <is>
          <t>Riportare discorsi con verbi specifici (suggest, admit, deny, warn) e le loro strutture.</t>
        </is>
      </c>
      <c r="K85" s="56" t="inlineStr">
        <is>
          <t>Grammatica, Lettura</t>
        </is>
      </c>
      <c r="L85" s="46" t="n">
        <v>15</v>
      </c>
      <c r="M85" s="56" t="inlineStr">
        <is>
          <t>GRA-B2-006</t>
        </is>
      </c>
      <c r="N85" s="56" t="inlineStr">
        <is>
          <t>VOC-B2-002</t>
        </is>
      </c>
      <c r="O85" s="56" t="inlineStr">
        <is>
          <t>«He suggested me to go»; «explain me the problem» invece di «explain the problem to me».</t>
        </is>
      </c>
      <c r="P85" s="56" t="inlineStr">
        <is>
          <t>Da sviluppare</t>
        </is>
      </c>
      <c r="Q85" s="56" t="inlineStr">
        <is>
          <t>Discorso indiretto</t>
        </is>
      </c>
    </row>
    <row r="86" ht="42" customHeight="1" s="40">
      <c r="A86" s="46" t="inlineStr">
        <is>
          <t>VOC-B2-002</t>
        </is>
      </c>
      <c r="B86" s="54" t="inlineStr">
        <is>
          <t>Vocabolario</t>
        </is>
      </c>
      <c r="C86" s="56" t="inlineStr">
        <is>
          <t>Lessico tematico</t>
        </is>
      </c>
      <c r="D86" s="56" t="inlineStr">
        <is>
          <t>Il lessico del lavoro e delle riunioni</t>
        </is>
      </c>
      <c r="E86" s="56" t="inlineStr">
        <is>
          <t>Parole chiave, espressioni in contesto reale, falsi amici ed errori tipici, quiz di consolidamento.</t>
        </is>
      </c>
      <c r="F86" s="60" t="inlineStr">
        <is>
          <t>B2</t>
        </is>
      </c>
      <c r="G86" s="55" t="inlineStr">
        <is>
          <t>Media</t>
        </is>
      </c>
      <c r="H86" s="46" t="n">
        <v>82</v>
      </c>
      <c r="I86" s="56" t="inlineStr">
        <is>
          <t>VOC-B2-001</t>
        </is>
      </c>
      <c r="J86" s="56" t="inlineStr">
        <is>
          <t>Padroneggiare il vocabolario professionale di riunioni, e-mail e progetti.</t>
        </is>
      </c>
      <c r="K86" s="56" t="inlineStr">
        <is>
          <t>Lessico, Lettura</t>
        </is>
      </c>
      <c r="L86" s="46" t="n">
        <v>12</v>
      </c>
      <c r="M86" s="56" t="inlineStr">
        <is>
          <t>GRA-B2-007</t>
        </is>
      </c>
      <c r="N86" s="56" t="inlineStr">
        <is>
          <t>COM-B2-001</t>
        </is>
      </c>
      <c r="O86" s="56" t="inlineStr">
        <is>
          <t>«Reunion» per «riunione» (meeting); pseudoanglicismi italiani (smart working per remote working).</t>
        </is>
      </c>
      <c r="P86" s="56" t="inlineStr">
        <is>
          <t>Da sviluppare</t>
        </is>
      </c>
      <c r="Q86" s="56" t="inlineStr">
        <is>
          <t>Lavoro e professioni</t>
        </is>
      </c>
    </row>
    <row r="87" ht="27.75" customHeight="1" s="40">
      <c r="A87" s="46" t="inlineStr">
        <is>
          <t>COM-B2-001</t>
        </is>
      </c>
      <c r="B87" s="51" t="inlineStr">
        <is>
          <t>Comunicazione</t>
        </is>
      </c>
      <c r="C87" s="56" t="inlineStr">
        <is>
          <t>Dialogo</t>
        </is>
      </c>
      <c r="D87" s="56" t="inlineStr">
        <is>
          <t>Riunione di lavoro: proporre e negoziare</t>
        </is>
      </c>
      <c r="E87" s="56" t="inlineStr">
        <is>
          <t>Scenario realistico con dialogo modello, espressioni utili, simulazione interattiva a scelte e feedback finale.</t>
        </is>
      </c>
      <c r="F87" s="60" t="inlineStr">
        <is>
          <t>B2</t>
        </is>
      </c>
      <c r="G87" s="57" t="inlineStr">
        <is>
          <t>Alta</t>
        </is>
      </c>
      <c r="H87" s="46" t="n">
        <v>83</v>
      </c>
      <c r="I87" s="56" t="inlineStr">
        <is>
          <t>COM-B2-003, VOC-B2-002</t>
        </is>
      </c>
      <c r="J87" s="56" t="inlineStr">
        <is>
          <t>Partecipare a una riunione: proporre, interrompere con garbo, riassumere decisioni.</t>
        </is>
      </c>
      <c r="K87" s="56" t="inlineStr">
        <is>
          <t>Speaking, Lettura</t>
        </is>
      </c>
      <c r="L87" s="46" t="n">
        <v>20</v>
      </c>
      <c r="M87" s="56" t="inlineStr">
        <is>
          <t>VOC-B2-002</t>
        </is>
      </c>
      <c r="N87" s="56" t="inlineStr">
        <is>
          <t>GRA-B2-008</t>
        </is>
      </c>
      <c r="O87" s="56" t="inlineStr">
        <is>
          <t>Tono troppo diretto; «I pretend...» per «pretendo» (expect/demand).</t>
        </is>
      </c>
      <c r="P87" s="56" t="inlineStr">
        <is>
          <t>Da sviluppare</t>
        </is>
      </c>
      <c r="Q87" s="56" t="inlineStr">
        <is>
          <t>Lavoro e ambito professionale</t>
        </is>
      </c>
    </row>
    <row r="88" ht="42" customHeight="1" s="40">
      <c r="A88" s="46" t="inlineStr">
        <is>
          <t>GRA-B2-008</t>
        </is>
      </c>
      <c r="B88" s="47" t="inlineStr">
        <is>
          <t>Grammatica</t>
        </is>
      </c>
      <c r="C88" s="56" t="inlineStr">
        <is>
          <t>Regola ed esercizi</t>
        </is>
      </c>
      <c r="D88" s="56" t="inlineStr">
        <is>
          <t>Have e get something done</t>
        </is>
      </c>
      <c r="E88" s="56" t="inlineStr">
        <is>
          <t>Regola spiegata in parole semplici, strutture (affermativa, negativa, interrogativa), esempi con traduzione, confronto con l'italiano ed esercizi progressivi.</t>
        </is>
      </c>
      <c r="F88" s="60" t="inlineStr">
        <is>
          <t>B2</t>
        </is>
      </c>
      <c r="G88" s="55" t="inlineStr">
        <is>
          <t>Media</t>
        </is>
      </c>
      <c r="H88" s="46" t="n">
        <v>84</v>
      </c>
      <c r="I88" s="56" t="inlineStr">
        <is>
          <t>GRA-B2-007</t>
        </is>
      </c>
      <c r="J88" s="56" t="inlineStr">
        <is>
          <t>Indicare azioni fatte da altri per noi (causativa), struttura assente in italiano.</t>
        </is>
      </c>
      <c r="K88" s="56" t="inlineStr">
        <is>
          <t>Grammatica, Lettura</t>
        </is>
      </c>
      <c r="L88" s="46" t="n">
        <v>12</v>
      </c>
      <c r="M88" s="56" t="inlineStr">
        <is>
          <t>COM-B2-001</t>
        </is>
      </c>
      <c r="N88" s="56" t="inlineStr">
        <is>
          <t>COM-B2-002</t>
        </is>
      </c>
      <c r="O88" s="56" t="inlineStr">
        <is>
          <t>«I cut my hair» per dire che l'ha fatto il parrucchiere; ordine errato degli elementi.</t>
        </is>
      </c>
      <c r="P88" s="56" t="inlineStr">
        <is>
          <t>Da sviluppare</t>
        </is>
      </c>
      <c r="Q88" s="56" t="inlineStr">
        <is>
          <t>Causative</t>
        </is>
      </c>
    </row>
    <row r="89" ht="27.75" customHeight="1" s="40">
      <c r="A89" s="46" t="inlineStr">
        <is>
          <t>COM-B2-002</t>
        </is>
      </c>
      <c r="B89" s="51" t="inlineStr">
        <is>
          <t>Comunicazione</t>
        </is>
      </c>
      <c r="C89" s="56" t="inlineStr">
        <is>
          <t>Dialogo</t>
        </is>
      </c>
      <c r="D89" s="56" t="inlineStr">
        <is>
          <t>Gestire un problema o un reclamo</t>
        </is>
      </c>
      <c r="E89" s="56" t="inlineStr">
        <is>
          <t>Scenario realistico con dialogo modello, espressioni utili, simulazione interattiva a scelte e feedback finale.</t>
        </is>
      </c>
      <c r="F89" s="60" t="inlineStr">
        <is>
          <t>B2</t>
        </is>
      </c>
      <c r="G89" s="55" t="inlineStr">
        <is>
          <t>Media</t>
        </is>
      </c>
      <c r="H89" s="46" t="n">
        <v>85</v>
      </c>
      <c r="I89" s="56" t="inlineStr">
        <is>
          <t>COM-B2-001</t>
        </is>
      </c>
      <c r="J89" s="56" t="inlineStr">
        <is>
          <t>Presentare un reclamo o risolvere un disservizio con fermezza cortese.</t>
        </is>
      </c>
      <c r="K89" s="56" t="inlineStr">
        <is>
          <t>Speaking, Lettura</t>
        </is>
      </c>
      <c r="L89" s="46" t="n">
        <v>20</v>
      </c>
      <c r="M89" s="56" t="inlineStr">
        <is>
          <t>GRA-B2-008</t>
        </is>
      </c>
      <c r="N89" s="56" t="inlineStr">
        <is>
          <t>COM-B2-004</t>
        </is>
      </c>
      <c r="O89" s="56" t="inlineStr">
        <is>
          <t>«I want my money back» senza attenuazioni; «signalize» per «segnalare» (report).</t>
        </is>
      </c>
      <c r="P89" s="56" t="inlineStr">
        <is>
          <t>Da sviluppare</t>
        </is>
      </c>
      <c r="Q89" s="56" t="inlineStr">
        <is>
          <t>Gestire situazioni difficili</t>
        </is>
      </c>
    </row>
    <row r="90" ht="42" customHeight="1" s="40">
      <c r="A90" s="46" t="inlineStr">
        <is>
          <t>COM-B2-004</t>
        </is>
      </c>
      <c r="B90" s="51" t="inlineStr">
        <is>
          <t>Comunicazione</t>
        </is>
      </c>
      <c r="C90" s="56" t="inlineStr">
        <is>
          <t>Produzione Libera</t>
        </is>
      </c>
      <c r="D90" s="56" t="inlineStr">
        <is>
          <t>Sostenere un'argomentazione</t>
        </is>
      </c>
      <c r="E90" s="56" t="inlineStr">
        <is>
          <t>Consegna reale da svolgere in autonomia (parlata o scritta), checklist di qualità e feedback mirato.</t>
        </is>
      </c>
      <c r="F90" s="60" t="inlineStr">
        <is>
          <t>B2</t>
        </is>
      </c>
      <c r="G90" s="57" t="inlineStr">
        <is>
          <t>Alta</t>
        </is>
      </c>
      <c r="H90" s="46" t="n">
        <v>86</v>
      </c>
      <c r="I90" s="56" t="inlineStr">
        <is>
          <t>COM-B2-002, COM-B1-003</t>
        </is>
      </c>
      <c r="J90" s="56" t="inlineStr">
        <is>
          <t>Costruire un discorso o un testo argomentativo autonomo con tesi, prove e conclusione.</t>
        </is>
      </c>
      <c r="K90" s="56" t="inlineStr">
        <is>
          <t>Scrittura, Speaking</t>
        </is>
      </c>
      <c r="L90" s="46" t="n">
        <v>20</v>
      </c>
      <c r="M90" s="56" t="inlineStr">
        <is>
          <t>COM-B2-002</t>
        </is>
      </c>
      <c r="N90" s="56" t="inlineStr">
        <is>
          <t>COM-B2-005</t>
        </is>
      </c>
      <c r="O90" s="56" t="inlineStr">
        <is>
          <t>Paragrafi lunghi «all'italiana»; abuso di «It is obvious that»; struttura implicita.</t>
        </is>
      </c>
      <c r="P90" s="56" t="inlineStr">
        <is>
          <t>Da sviluppare</t>
        </is>
      </c>
      <c r="Q90" s="56" t="inlineStr">
        <is>
          <t>Argomentare e discutere</t>
        </is>
      </c>
    </row>
    <row r="91" ht="42" customHeight="1" s="40">
      <c r="A91" s="46" t="inlineStr">
        <is>
          <t>COM-B2-005</t>
        </is>
      </c>
      <c r="B91" s="51" t="inlineStr">
        <is>
          <t>Comunicazione</t>
        </is>
      </c>
      <c r="C91" s="56" t="inlineStr">
        <is>
          <t>Produzione Libera</t>
        </is>
      </c>
      <c r="D91" s="56" t="inlineStr">
        <is>
          <t>Scrivere un'e-mail formale</t>
        </is>
      </c>
      <c r="E91" s="56" t="inlineStr">
        <is>
          <t>Consegna reale da svolgere in autonomia (parlata o scritta), checklist di qualità e feedback mirato.</t>
        </is>
      </c>
      <c r="F91" s="60" t="inlineStr">
        <is>
          <t>B2</t>
        </is>
      </c>
      <c r="G91" s="55" t="inlineStr">
        <is>
          <t>Media</t>
        </is>
      </c>
      <c r="H91" s="46" t="n">
        <v>87</v>
      </c>
      <c r="I91" s="56" t="inlineStr">
        <is>
          <t>COM-B2-004, COM-B1-005</t>
        </is>
      </c>
      <c r="J91" s="56" t="inlineStr">
        <is>
          <t>Scrivere e-mail formali efficaci: richieste, candidature, comunicazioni professionali.</t>
        </is>
      </c>
      <c r="K91" s="56" t="inlineStr">
        <is>
          <t>Scrittura, Speaking</t>
        </is>
      </c>
      <c r="L91" s="46" t="n">
        <v>20</v>
      </c>
      <c r="M91" s="56" t="inlineStr">
        <is>
          <t>COM-B2-004</t>
        </is>
      </c>
      <c r="N91" s="56" t="inlineStr">
        <is>
          <t>GRA-C1-001</t>
        </is>
      </c>
      <c r="O91" s="56" t="inlineStr">
        <is>
          <t>«In attesa di un suo riscontro» tradotto alla lettera; Dear + registro errato; chiusure inadatte.</t>
        </is>
      </c>
      <c r="P91" s="56" t="inlineStr">
        <is>
          <t>Da sviluppare</t>
        </is>
      </c>
      <c r="Q91" s="56" t="inlineStr">
        <is>
          <t>Scrivere email e messaggi</t>
        </is>
      </c>
    </row>
    <row r="92" ht="27.75" customHeight="1" s="40">
      <c r="A92" s="46" t="inlineStr">
        <is>
          <t>GRA-C1-001</t>
        </is>
      </c>
      <c r="B92" s="47" t="inlineStr">
        <is>
          <t>Grammatica</t>
        </is>
      </c>
      <c r="C92" s="56" t="inlineStr">
        <is>
          <t>Regola ed esercizi</t>
        </is>
      </c>
      <c r="D92" s="56" t="inlineStr">
        <is>
          <t>L'inversione dopo avverbi negativi</t>
        </is>
      </c>
      <c r="E92" s="56" t="inlineStr">
        <is>
          <t>Regola spiegata in parole semplici, strutture (affermativa, negativa, interrogativa), esempi con traduzione, confronto con l'italiano ed esercizi progressivi.</t>
        </is>
      </c>
      <c r="F92" s="61" t="inlineStr">
        <is>
          <t>C1</t>
        </is>
      </c>
      <c r="G92" s="57" t="inlineStr">
        <is>
          <t>Alta</t>
        </is>
      </c>
      <c r="H92" s="46" t="n">
        <v>88</v>
      </c>
      <c r="I92" s="56" t="inlineStr">
        <is>
          <t>GRA-B2-008</t>
        </is>
      </c>
      <c r="J92" s="56" t="inlineStr">
        <is>
          <t>Dare enfasi formale con Never/Rarely/Not only + inversione.</t>
        </is>
      </c>
      <c r="K92" s="56" t="inlineStr">
        <is>
          <t>Grammatica, Lettura</t>
        </is>
      </c>
      <c r="L92" s="46" t="n">
        <v>15</v>
      </c>
      <c r="M92" s="56" t="inlineStr">
        <is>
          <t>COM-B2-005</t>
        </is>
      </c>
      <c r="N92" s="56" t="inlineStr">
        <is>
          <t>GRA-C1-002</t>
        </is>
      </c>
      <c r="O92" s="56" t="inlineStr">
        <is>
          <t>Mantenere l'ordine SVO («Never I have seen...»); usare la struttura nel registro sbagliato.</t>
        </is>
      </c>
      <c r="P92" s="56" t="inlineStr">
        <is>
          <t>Da sviluppare</t>
        </is>
      </c>
      <c r="Q92" s="56" t="inlineStr">
        <is>
          <t>Inversione ed enfasi</t>
        </is>
      </c>
    </row>
    <row r="93" ht="27.75" customHeight="1" s="40">
      <c r="A93" s="46" t="inlineStr">
        <is>
          <t>GRA-C1-002</t>
        </is>
      </c>
      <c r="B93" s="47" t="inlineStr">
        <is>
          <t>Grammatica</t>
        </is>
      </c>
      <c r="C93" s="56" t="inlineStr">
        <is>
          <t>Regola ed esercizi</t>
        </is>
      </c>
      <c r="D93" s="56" t="inlineStr">
        <is>
          <t>Cleft sentences e strutture enfatiche</t>
        </is>
      </c>
      <c r="E93" s="56" t="inlineStr">
        <is>
          <t>Regola spiegata in parole semplici, strutture (affermativa, negativa, interrogativa), esempi con traduzione, confronto con l'italiano ed esercizi progressivi.</t>
        </is>
      </c>
      <c r="F93" s="61" t="inlineStr">
        <is>
          <t>C1</t>
        </is>
      </c>
      <c r="G93" s="57" t="inlineStr">
        <is>
          <t>Alta</t>
        </is>
      </c>
      <c r="H93" s="46" t="n">
        <v>89</v>
      </c>
      <c r="I93" s="56" t="inlineStr">
        <is>
          <t>GRA-C1-001</t>
        </is>
      </c>
      <c r="J93" s="56" t="inlineStr">
        <is>
          <t>Mettere in rilievo un elemento della frase con It is... that / What... is.</t>
        </is>
      </c>
      <c r="K93" s="56" t="inlineStr">
        <is>
          <t>Grammatica, Lettura</t>
        </is>
      </c>
      <c r="L93" s="46" t="n">
        <v>15</v>
      </c>
      <c r="M93" s="56" t="inlineStr">
        <is>
          <t>GRA-C1-001</t>
        </is>
      </c>
      <c r="N93" s="56" t="inlineStr">
        <is>
          <t>VOC-C1-001</t>
        </is>
      </c>
      <c r="O93" s="56" t="inlineStr">
        <is>
          <t>Rendere l'enfasi solo con l'intonazione come in italiano; sottoutilizzare le cleft.</t>
        </is>
      </c>
      <c r="P93" s="56" t="inlineStr">
        <is>
          <t>Da sviluppare</t>
        </is>
      </c>
      <c r="Q93" s="56" t="inlineStr">
        <is>
          <t>Inversione ed enfasi</t>
        </is>
      </c>
    </row>
    <row r="94" ht="42" customHeight="1" s="40">
      <c r="A94" s="46" t="inlineStr">
        <is>
          <t>VOC-C1-001</t>
        </is>
      </c>
      <c r="B94" s="54" t="inlineStr">
        <is>
          <t>Vocabolario</t>
        </is>
      </c>
      <c r="C94" s="56" t="inlineStr">
        <is>
          <t>Lessico tematico</t>
        </is>
      </c>
      <c r="D94" s="56" t="inlineStr">
        <is>
          <t>Idiomi e linguaggio figurato</t>
        </is>
      </c>
      <c r="E94" s="56" t="inlineStr">
        <is>
          <t>Parole chiave, espressioni in contesto reale, falsi amici ed errori tipici, quiz di consolidamento.</t>
        </is>
      </c>
      <c r="F94" s="61" t="inlineStr">
        <is>
          <t>C1</t>
        </is>
      </c>
      <c r="G94" s="57" t="inlineStr">
        <is>
          <t>Alta</t>
        </is>
      </c>
      <c r="H94" s="46" t="n">
        <v>90</v>
      </c>
      <c r="I94" s="56" t="inlineStr">
        <is>
          <t>VOC-B2-002</t>
        </is>
      </c>
      <c r="J94" s="56" t="inlineStr">
        <is>
          <t>Capire e usare le espressioni idiomatiche più comuni nel registro adatto.</t>
        </is>
      </c>
      <c r="K94" s="56" t="inlineStr">
        <is>
          <t>Lessico, Lettura</t>
        </is>
      </c>
      <c r="L94" s="46" t="n">
        <v>15</v>
      </c>
      <c r="M94" s="56" t="inlineStr">
        <is>
          <t>GRA-C1-002</t>
        </is>
      </c>
      <c r="N94" s="56" t="inlineStr">
        <is>
          <t>GRA-C1-003</t>
        </is>
      </c>
      <c r="O94" s="56" t="inlineStr">
        <is>
          <t>Traduzione letterale di idiomi italiani; uso di idiomi in contesti formali inadatti.</t>
        </is>
      </c>
      <c r="P94" s="56" t="inlineStr">
        <is>
          <t>Da sviluppare</t>
        </is>
      </c>
      <c r="Q94" s="56" t="inlineStr">
        <is>
          <t>Idiomi e modi di dire</t>
        </is>
      </c>
    </row>
    <row r="95" ht="27.75" customHeight="1" s="40">
      <c r="A95" s="46" t="inlineStr">
        <is>
          <t>GRA-C1-003</t>
        </is>
      </c>
      <c r="B95" s="47" t="inlineStr">
        <is>
          <t>Grammatica</t>
        </is>
      </c>
      <c r="C95" s="56" t="inlineStr">
        <is>
          <t>Regola ed esercizi</t>
        </is>
      </c>
      <c r="D95" s="56" t="inlineStr">
        <is>
          <t>Participle clauses</t>
        </is>
      </c>
      <c r="E95" s="56" t="inlineStr">
        <is>
          <t>Regola spiegata in parole semplici, strutture (affermativa, negativa, interrogativa), esempi con traduzione, confronto con l'italiano ed esercizi progressivi.</t>
        </is>
      </c>
      <c r="F95" s="61" t="inlineStr">
        <is>
          <t>C1</t>
        </is>
      </c>
      <c r="G95" s="57" t="inlineStr">
        <is>
          <t>Alta</t>
        </is>
      </c>
      <c r="H95" s="46" t="n">
        <v>91</v>
      </c>
      <c r="I95" s="56" t="inlineStr">
        <is>
          <t>GRA-C1-002</t>
        </is>
      </c>
      <c r="J95" s="56" t="inlineStr">
        <is>
          <t>Rendere il discorso più conciso con frasi participiali.</t>
        </is>
      </c>
      <c r="K95" s="56" t="inlineStr">
        <is>
          <t>Grammatica, Lettura</t>
        </is>
      </c>
      <c r="L95" s="46" t="n">
        <v>15</v>
      </c>
      <c r="M95" s="56" t="inlineStr">
        <is>
          <t>VOC-C1-001</t>
        </is>
      </c>
      <c r="N95" s="56" t="inlineStr">
        <is>
          <t>GRA-C1-004</t>
        </is>
      </c>
      <c r="O95" s="56" t="inlineStr">
        <is>
          <t>Participi «sospesi» con soggetto diverso dalla principale; calco del gerundio italiano.</t>
        </is>
      </c>
      <c r="P95" s="56" t="inlineStr">
        <is>
          <t>Da sviluppare</t>
        </is>
      </c>
      <c r="Q95" s="56" t="inlineStr">
        <is>
          <t>Frasi participiali e relative ridotte</t>
        </is>
      </c>
    </row>
    <row r="96" ht="27.75" customHeight="1" s="40">
      <c r="A96" s="46" t="inlineStr">
        <is>
          <t>GRA-C1-004</t>
        </is>
      </c>
      <c r="B96" s="47" t="inlineStr">
        <is>
          <t>Grammatica</t>
        </is>
      </c>
      <c r="C96" s="56" t="inlineStr">
        <is>
          <t>Regola ed esercizi</t>
        </is>
      </c>
      <c r="D96" s="56" t="inlineStr">
        <is>
          <t>Reduced relative clauses</t>
        </is>
      </c>
      <c r="E96" s="56" t="inlineStr">
        <is>
          <t>Regola spiegata in parole semplici, strutture (affermativa, negativa, interrogativa), esempi con traduzione, confronto con l'italiano ed esercizi progressivi.</t>
        </is>
      </c>
      <c r="F96" s="61" t="inlineStr">
        <is>
          <t>C1</t>
        </is>
      </c>
      <c r="G96" s="57" t="inlineStr">
        <is>
          <t>Alta</t>
        </is>
      </c>
      <c r="H96" s="46" t="n">
        <v>92</v>
      </c>
      <c r="I96" s="56" t="inlineStr">
        <is>
          <t>GRA-C1-003</t>
        </is>
      </c>
      <c r="J96" s="56" t="inlineStr">
        <is>
          <t>Abbreviare le relative con -ing e participio passato.</t>
        </is>
      </c>
      <c r="K96" s="56" t="inlineStr">
        <is>
          <t>Grammatica, Lettura</t>
        </is>
      </c>
      <c r="L96" s="46" t="n">
        <v>12</v>
      </c>
      <c r="M96" s="56" t="inlineStr">
        <is>
          <t>GRA-C1-003</t>
        </is>
      </c>
      <c r="N96" s="56" t="inlineStr">
        <is>
          <t>GRA-C1-005</t>
        </is>
      </c>
      <c r="O96" s="56" t="inlineStr">
        <is>
          <t>Confondere -ing (attivo) e -ed (passivo); mantenere pronome e be superflui.</t>
        </is>
      </c>
      <c r="P96" s="56" t="inlineStr">
        <is>
          <t>Da sviluppare</t>
        </is>
      </c>
      <c r="Q96" s="56" t="inlineStr">
        <is>
          <t>Frasi participiali e relative ridotte</t>
        </is>
      </c>
    </row>
    <row r="97" ht="27.75" customHeight="1" s="40">
      <c r="A97" s="46" t="inlineStr">
        <is>
          <t>GRA-C1-005</t>
        </is>
      </c>
      <c r="B97" s="47" t="inlineStr">
        <is>
          <t>Grammatica</t>
        </is>
      </c>
      <c r="C97" s="56" t="inlineStr">
        <is>
          <t>Regola ed esercizi</t>
        </is>
      </c>
      <c r="D97" s="56" t="inlineStr">
        <is>
          <t>Ellissi e substitution</t>
        </is>
      </c>
      <c r="E97" s="56" t="inlineStr">
        <is>
          <t>Regola spiegata in parole semplici, strutture (affermativa, negativa, interrogativa), esempi con traduzione, confronto con l'italiano ed esercizi progressivi.</t>
        </is>
      </c>
      <c r="F97" s="61" t="inlineStr">
        <is>
          <t>C1</t>
        </is>
      </c>
      <c r="G97" s="57" t="inlineStr">
        <is>
          <t>Alta</t>
        </is>
      </c>
      <c r="H97" s="46" t="n">
        <v>93</v>
      </c>
      <c r="I97" s="56" t="inlineStr">
        <is>
          <t>GRA-C1-004</t>
        </is>
      </c>
      <c r="J97" s="56" t="inlineStr">
        <is>
          <t>Evitare ripetizioni con so, do, one e l'omissione di elementi già noti.</t>
        </is>
      </c>
      <c r="K97" s="56" t="inlineStr">
        <is>
          <t>Grammatica, Lettura</t>
        </is>
      </c>
      <c r="L97" s="46" t="n">
        <v>12</v>
      </c>
      <c r="M97" s="56" t="inlineStr">
        <is>
          <t>GRA-C1-004</t>
        </is>
      </c>
      <c r="N97" s="56" t="inlineStr">
        <is>
          <t>GRA-C1-006</t>
        </is>
      </c>
      <c r="O97" s="56" t="inlineStr">
        <is>
          <t>«I think yes» invece di «I think so»; ripetere elementi che l'inglese omette.</t>
        </is>
      </c>
      <c r="P97" s="56" t="inlineStr">
        <is>
          <t>Da sviluppare</t>
        </is>
      </c>
      <c r="Q97" s="56" t="inlineStr">
        <is>
          <t>Ellissi e sostituzione</t>
        </is>
      </c>
    </row>
    <row r="98" ht="42" customHeight="1" s="40">
      <c r="A98" s="46" t="inlineStr">
        <is>
          <t>GRA-C1-006</t>
        </is>
      </c>
      <c r="B98" s="47" t="inlineStr">
        <is>
          <t>Grammatica</t>
        </is>
      </c>
      <c r="C98" s="56" t="inlineStr">
        <is>
          <t>Regola ed esercizi</t>
        </is>
      </c>
      <c r="D98" s="56" t="inlineStr">
        <is>
          <t>Hedging e linguaggio prudente</t>
        </is>
      </c>
      <c r="E98" s="56" t="inlineStr">
        <is>
          <t>Regola spiegata in parole semplici, strutture (affermativa, negativa, interrogativa), esempi con traduzione, confronto con l'italiano ed esercizi progressivi.</t>
        </is>
      </c>
      <c r="F98" s="61" t="inlineStr">
        <is>
          <t>C1</t>
        </is>
      </c>
      <c r="G98" s="57" t="inlineStr">
        <is>
          <t>Alta</t>
        </is>
      </c>
      <c r="H98" s="46" t="n">
        <v>94</v>
      </c>
      <c r="I98" s="56" t="inlineStr">
        <is>
          <t>GRA-C1-005</t>
        </is>
      </c>
      <c r="J98" s="56" t="inlineStr">
        <is>
          <t>Attenuare le affermazioni con seem, appear, tend to, modali, tipico del registro accademico e professionale.</t>
        </is>
      </c>
      <c r="K98" s="56" t="inlineStr">
        <is>
          <t>Grammatica, Lettura</t>
        </is>
      </c>
      <c r="L98" s="46" t="n">
        <v>15</v>
      </c>
      <c r="M98" s="56" t="inlineStr">
        <is>
          <t>GRA-C1-005</t>
        </is>
      </c>
      <c r="N98" s="56" t="inlineStr">
        <is>
          <t>COM-C1-001</t>
        </is>
      </c>
      <c r="O98" s="56" t="inlineStr">
        <is>
          <t>Affermazioni troppo dirette e categoriche; scarso uso dei softeners rispetto alle convenzioni inglesi.</t>
        </is>
      </c>
      <c r="P98" s="56" t="inlineStr">
        <is>
          <t>Da sviluppare</t>
        </is>
      </c>
      <c r="Q98" s="56" t="inlineStr">
        <is>
          <t>Hedging e registro</t>
        </is>
      </c>
    </row>
    <row r="99" ht="42" customHeight="1" s="40">
      <c r="A99" s="46" t="inlineStr">
        <is>
          <t>COM-C1-001</t>
        </is>
      </c>
      <c r="B99" s="51" t="inlineStr">
        <is>
          <t>Comunicazione</t>
        </is>
      </c>
      <c r="C99" s="56" t="inlineStr">
        <is>
          <t>Dialogo</t>
        </is>
      </c>
      <c r="D99" s="56" t="inlineStr">
        <is>
          <t>Negoziazione professionale avanzata</t>
        </is>
      </c>
      <c r="E99" s="56" t="inlineStr">
        <is>
          <t>Scenario realistico con dialogo modello, espressioni utili, simulazione interattiva a scelte e feedback finale.</t>
        </is>
      </c>
      <c r="F99" s="61" t="inlineStr">
        <is>
          <t>C1</t>
        </is>
      </c>
      <c r="G99" s="57" t="inlineStr">
        <is>
          <t>Alta</t>
        </is>
      </c>
      <c r="H99" s="46" t="n">
        <v>95</v>
      </c>
      <c r="I99" s="56" t="inlineStr">
        <is>
          <t>COM-B2-005, GRA-C1-006</t>
        </is>
      </c>
      <c r="J99" s="56" t="inlineStr">
        <is>
          <t>Condurre una negoziazione complessa gestendo obiezioni, concessioni e toni diplomatici.</t>
        </is>
      </c>
      <c r="K99" s="56" t="inlineStr">
        <is>
          <t>Speaking, Lettura</t>
        </is>
      </c>
      <c r="L99" s="46" t="n">
        <v>25</v>
      </c>
      <c r="M99" s="56" t="inlineStr">
        <is>
          <t>GRA-C1-006</t>
        </is>
      </c>
      <c r="N99" s="56" t="inlineStr">
        <is>
          <t>VOC-C1-002</t>
        </is>
      </c>
      <c r="O99" s="56" t="inlineStr">
        <is>
          <t>Mancanza di hedging nelle proposte; gestione delle interruzioni secondo abitudini italiane.</t>
        </is>
      </c>
      <c r="P99" s="56" t="inlineStr">
        <is>
          <t>Da sviluppare</t>
        </is>
      </c>
      <c r="Q99" s="56" t="inlineStr">
        <is>
          <t>Lavoro e ambito professionale</t>
        </is>
      </c>
    </row>
    <row r="100" ht="27.75" customHeight="1" s="40">
      <c r="A100" s="46" t="inlineStr">
        <is>
          <t>VOC-C1-002</t>
        </is>
      </c>
      <c r="B100" s="54" t="inlineStr">
        <is>
          <t>Vocabolario</t>
        </is>
      </c>
      <c r="C100" s="56" t="inlineStr">
        <is>
          <t>Lessico tematico</t>
        </is>
      </c>
      <c r="D100" s="56" t="inlineStr">
        <is>
          <t>Registro formale e informale</t>
        </is>
      </c>
      <c r="E100" s="56" t="inlineStr">
        <is>
          <t>Parole chiave, espressioni in contesto reale, falsi amici ed errori tipici, quiz di consolidamento.</t>
        </is>
      </c>
      <c r="F100" s="61" t="inlineStr">
        <is>
          <t>C1</t>
        </is>
      </c>
      <c r="G100" s="57" t="inlineStr">
        <is>
          <t>Alta</t>
        </is>
      </c>
      <c r="H100" s="46" t="n">
        <v>96</v>
      </c>
      <c r="I100" s="56" t="inlineStr">
        <is>
          <t>VOC-C1-001</t>
        </is>
      </c>
      <c r="J100" s="56" t="inlineStr">
        <is>
          <t>Adattare lessico e tono al contesto: e-mail, presentazioni, conversazioni informali.</t>
        </is>
      </c>
      <c r="K100" s="56" t="inlineStr">
        <is>
          <t>Lessico, Lettura</t>
        </is>
      </c>
      <c r="L100" s="46" t="n">
        <v>15</v>
      </c>
      <c r="M100" s="56" t="inlineStr">
        <is>
          <t>COM-C1-001</t>
        </is>
      </c>
      <c r="N100" s="56" t="inlineStr">
        <is>
          <t>COM-C1-002</t>
        </is>
      </c>
      <c r="O100" s="56" t="inlineStr">
        <is>
          <t>Tono troppo diretto per le convenzioni inglesi; «gentle» per «gentile» (kind); assenza di softeners.</t>
        </is>
      </c>
      <c r="P100" s="56" t="inlineStr">
        <is>
          <t>Da sviluppare</t>
        </is>
      </c>
      <c r="Q100" s="56" t="inlineStr">
        <is>
          <t>Registro e stile</t>
        </is>
      </c>
    </row>
    <row r="101" ht="42" customHeight="1" s="40">
      <c r="A101" s="46" t="inlineStr">
        <is>
          <t>COM-C1-002</t>
        </is>
      </c>
      <c r="B101" s="51" t="inlineStr">
        <is>
          <t>Comunicazione</t>
        </is>
      </c>
      <c r="C101" s="56" t="inlineStr">
        <is>
          <t>Produzione Libera</t>
        </is>
      </c>
      <c r="D101" s="56" t="inlineStr">
        <is>
          <t>Presentare un tema complesso con chiarezza</t>
        </is>
      </c>
      <c r="E101" s="56" t="inlineStr">
        <is>
          <t>Consegna reale da svolgere in autonomia (parlata o scritta), checklist di qualità e feedback mirato.</t>
        </is>
      </c>
      <c r="F101" s="61" t="inlineStr">
        <is>
          <t>C1</t>
        </is>
      </c>
      <c r="G101" s="57" t="inlineStr">
        <is>
          <t>Alta</t>
        </is>
      </c>
      <c r="H101" s="46" t="n">
        <v>97</v>
      </c>
      <c r="I101" s="56" t="inlineStr">
        <is>
          <t>COM-C1-001</t>
        </is>
      </c>
      <c r="J101" s="56" t="inlineStr">
        <is>
          <t>Tenere una presentazione strutturata con segnaletica del discorso (signposting) e gestione delle domande.</t>
        </is>
      </c>
      <c r="K101" s="56" t="inlineStr">
        <is>
          <t>Scrittura, Speaking</t>
        </is>
      </c>
      <c r="L101" s="46" t="n">
        <v>25</v>
      </c>
      <c r="M101" s="56" t="inlineStr">
        <is>
          <t>VOC-C1-002</t>
        </is>
      </c>
      <c r="N101" s="56" t="inlineStr">
        <is>
          <t>COM-C1-003</t>
        </is>
      </c>
      <c r="O101" s="56" t="inlineStr">
        <is>
          <t>Struttura implicita all'italiana invece del signposting esplicito inglese; frasi troppo lunghe.</t>
        </is>
      </c>
      <c r="P101" s="56" t="inlineStr">
        <is>
          <t>Da sviluppare</t>
        </is>
      </c>
      <c r="Q101" s="56" t="inlineStr">
        <is>
          <t>Presentazioni e public speaking</t>
        </is>
      </c>
    </row>
    <row r="102" ht="42" customHeight="1" s="40">
      <c r="A102" s="46" t="inlineStr">
        <is>
          <t>COM-C1-003</t>
        </is>
      </c>
      <c r="B102" s="51" t="inlineStr">
        <is>
          <t>Comunicazione</t>
        </is>
      </c>
      <c r="C102" s="56" t="inlineStr">
        <is>
          <t>Produzione Libera</t>
        </is>
      </c>
      <c r="D102" s="56" t="inlineStr">
        <is>
          <t>Scrivere un report strutturato</t>
        </is>
      </c>
      <c r="E102" s="56" t="inlineStr">
        <is>
          <t>Consegna reale da svolgere in autonomia (parlata o scritta), checklist di qualità e feedback mirato.</t>
        </is>
      </c>
      <c r="F102" s="61" t="inlineStr">
        <is>
          <t>C1</t>
        </is>
      </c>
      <c r="G102" s="57" t="inlineStr">
        <is>
          <t>Alta</t>
        </is>
      </c>
      <c r="H102" s="46" t="n">
        <v>98</v>
      </c>
      <c r="I102" s="56" t="inlineStr">
        <is>
          <t>COM-C1-002, GRA-B2-006</t>
        </is>
      </c>
      <c r="J102" s="56" t="inlineStr">
        <is>
          <t>Redigere un report professionale con sezioni, dati e raccomandazioni nel registro corretto.</t>
        </is>
      </c>
      <c r="K102" s="56" t="inlineStr">
        <is>
          <t>Scrittura, Speaking</t>
        </is>
      </c>
      <c r="L102" s="46" t="n">
        <v>25</v>
      </c>
      <c r="M102" s="56" t="inlineStr">
        <is>
          <t>COM-C1-002</t>
        </is>
      </c>
      <c r="N102" s="56" t="inlineStr">
        <is>
          <t>—</t>
        </is>
      </c>
      <c r="O102" s="56" t="inlineStr">
        <is>
          <t>Periodi lunghi con molte subordinate; scarso uso della passiva impersonale tipica dei report.</t>
        </is>
      </c>
      <c r="P102" s="56" t="inlineStr">
        <is>
          <t>Da sviluppare</t>
        </is>
      </c>
      <c r="Q102" s="56" t="inlineStr">
        <is>
          <t>Scrittura formale</t>
        </is>
      </c>
    </row>
    <row r="103" ht="42" customHeight="1" s="40"/>
    <row r="104" ht="42" customHeight="1" s="40"/>
    <row r="105" ht="27.75" customHeight="1" s="40"/>
    <row r="106" ht="27.75" customHeight="1" s="40"/>
    <row r="107" ht="27.75" customHeight="1" s="40"/>
    <row r="108" ht="27.75" customHeight="1" s="40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style="40" min="1" max="1"/>
    <col width="34" customWidth="1" style="40" min="2" max="2"/>
    <col width="46" customWidth="1" style="40" min="3" max="3"/>
    <col width="74" customWidth="1" style="40" min="4" max="4"/>
  </cols>
  <sheetData>
    <row r="1">
      <c r="A1" s="81" t="inlineStr">
        <is>
          <t>MODELLO DATI — corrispondenza fogli / tabelle Neon</t>
        </is>
      </c>
    </row>
    <row r="2" ht="30" customHeight="1" s="40">
      <c r="A2" s="82" t="inlineStr">
        <is>
          <t>Stato dopo la migration learning.0006. Se una struttura cambia su Neon va aggiornata anche qui.</t>
        </is>
      </c>
    </row>
    <row r="4">
      <c r="A4" s="83" t="inlineStr">
        <is>
          <t>Tabella Neon (attuale)</t>
        </is>
      </c>
      <c r="B4" s="83" t="inlineStr">
        <is>
          <t>Nome precedente</t>
        </is>
      </c>
      <c r="C4" s="83" t="inlineStr">
        <is>
          <t>Foglio di riferimento</t>
        </is>
      </c>
      <c r="D4" s="83" t="inlineStr">
        <is>
          <t>Note</t>
        </is>
      </c>
    </row>
    <row r="5">
      <c r="A5" s="84" t="inlineStr">
        <is>
          <t>mapping_area_lezione</t>
        </is>
      </c>
      <c r="B5" s="84" t="inlineStr">
        <is>
          <t>learning_area</t>
        </is>
      </c>
      <c r="C5" s="84" t="inlineStr">
        <is>
          <t>Liste (col. Area Didattica)</t>
        </is>
      </c>
      <c r="D5" s="84" t="inlineStr">
        <is>
          <t>Rinominata: tabella di mapping codice→etichetta.</t>
        </is>
      </c>
    </row>
    <row r="6">
      <c r="A6" s="84" t="inlineStr">
        <is>
          <t>mapping_tipologia</t>
        </is>
      </c>
      <c r="B6" s="84" t="inlineStr">
        <is>
          <t>learning_tipologia</t>
        </is>
      </c>
      <c r="C6" s="84" t="inlineStr">
        <is>
          <t>Liste (col. Tipologia Lezione)</t>
        </is>
      </c>
      <c r="D6" s="84" t="inlineStr">
        <is>
          <t>Rinominata.</t>
        </is>
      </c>
    </row>
    <row r="7">
      <c r="A7" s="84" t="inlineStr">
        <is>
          <t>mapping_livello</t>
        </is>
      </c>
      <c r="B7" s="84" t="inlineStr">
        <is>
          <t>learning_livello</t>
        </is>
      </c>
      <c r="C7" s="84" t="inlineStr">
        <is>
          <t>Liste (col. Livello Linguistico)</t>
        </is>
      </c>
      <c r="D7" s="84" t="inlineStr">
        <is>
          <t>Rinominata.</t>
        </is>
      </c>
    </row>
    <row r="8">
      <c r="A8" s="84" t="inlineStr">
        <is>
          <t>mapping_difficolta_lezione</t>
        </is>
      </c>
      <c r="B8" s="84" t="inlineStr">
        <is>
          <t>learning_difficolta</t>
        </is>
      </c>
      <c r="C8" s="84" t="inlineStr">
        <is>
          <t>Liste (col. Difficoltà)</t>
        </is>
      </c>
      <c r="D8" s="84" t="inlineStr">
        <is>
          <t>Rinominata, senza accento: un identificatore accentato andrebbe virgolettato in ogni query Postgres.</t>
        </is>
      </c>
    </row>
    <row r="9">
      <c r="A9" s="84" t="inlineStr">
        <is>
          <t>learning_statolezione</t>
        </is>
      </c>
      <c r="B9" s="84" t="inlineStr">
        <is>
          <t>—</t>
        </is>
      </c>
      <c r="C9" s="84" t="inlineStr">
        <is>
          <t>Liste (col. Stato della Lezione)</t>
        </is>
      </c>
      <c r="D9" s="84" t="inlineStr">
        <is>
          <t>Invariata: fuori dal perimetro del refactor.</t>
        </is>
      </c>
    </row>
    <row r="10">
      <c r="A10" s="84" t="inlineStr">
        <is>
          <t>learning_lezione</t>
        </is>
      </c>
      <c r="B10" s="84" t="inlineStr">
        <is>
          <t>—</t>
        </is>
      </c>
      <c r="C10" s="84" t="inlineStr">
        <is>
          <t>Programma Lezioni</t>
        </is>
      </c>
      <c r="D10" s="84" t="inlineStr">
        <is>
          <t>Rimosse le colonne priorita e importanza_mvp_id.</t>
        </is>
      </c>
    </row>
    <row r="11">
      <c r="A11" s="84" t="inlineStr">
        <is>
          <t>learning_prerequisito</t>
        </is>
      </c>
      <c r="B11" s="84" t="inlineStr">
        <is>
          <t>—</t>
        </is>
      </c>
      <c r="C11" s="84" t="inlineStr">
        <is>
          <t>Programma Lezioni (Prerequisiti) e Percorso MVP (Dipendenze)</t>
        </is>
      </c>
      <c r="D11" s="84" t="inlineStr">
        <is>
          <t>MANTENUTA: vedi nota in fondo.</t>
        </is>
      </c>
    </row>
    <row r="12">
      <c r="A12" s="84" t="inlineStr">
        <is>
          <t>struttura_lezione</t>
        </is>
      </c>
      <c r="B12" s="84" t="inlineStr">
        <is>
          <t>learning_sezionelezione</t>
        </is>
      </c>
      <c r="C12" s="84" t="inlineStr">
        <is>
          <t>Struttura_Lezione</t>
        </is>
      </c>
      <c r="D12" s="84" t="inlineStr">
        <is>
          <t>Rinominata: è la struttura della lezione.</t>
        </is>
      </c>
    </row>
    <row r="13">
      <c r="A13" s="84" t="inlineStr">
        <is>
          <t>struttura_quiz</t>
        </is>
      </c>
      <c r="B13" s="84" t="inlineStr">
        <is>
          <t>learning_quiz</t>
        </is>
      </c>
      <c r="C13" s="84" t="inlineStr">
        <is>
          <t>Struttura_Quiz</t>
        </is>
      </c>
      <c r="D13" s="84" t="inlineStr">
        <is>
          <t>Rinominata.</t>
        </is>
      </c>
    </row>
    <row r="14">
      <c r="A14" s="84" t="inlineStr">
        <is>
          <t>struttura_quiz_guidato</t>
        </is>
      </c>
      <c r="B14" s="84" t="inlineStr">
        <is>
          <t>learning_quesito (parte guidata)</t>
        </is>
      </c>
      <c r="C14" s="84" t="inlineStr">
        <is>
          <t>struttura_quiz_guidato</t>
        </is>
      </c>
      <c r="D14" s="84" t="inlineStr">
        <is>
          <t>Nuova, da separazione di learning_quesito.</t>
        </is>
      </c>
    </row>
    <row r="15">
      <c r="A15" s="84" t="inlineStr">
        <is>
          <t>struttura_quiz_finale</t>
        </is>
      </c>
      <c r="B15" s="84" t="inlineStr">
        <is>
          <t>learning_quesito (parte finale)</t>
        </is>
      </c>
      <c r="C15" s="84" t="inlineStr">
        <is>
          <t>struttura_quiz_finale</t>
        </is>
      </c>
      <c r="D15" s="84" t="inlineStr">
        <is>
          <t>Nuova, da separazione di learning_quesito.</t>
        </is>
      </c>
    </row>
    <row r="16">
      <c r="A16" s="84" t="inlineStr">
        <is>
          <t>learning_progresso</t>
        </is>
      </c>
      <c r="B16" s="84" t="inlineStr">
        <is>
          <t>—</t>
        </is>
      </c>
      <c r="C16" s="84" t="inlineStr">
        <is>
          <t>—</t>
        </is>
      </c>
      <c r="D16" s="84" t="inlineStr">
        <is>
          <t>Invariata. Popolata dagli utenti, non dal workbook.</t>
        </is>
      </c>
    </row>
    <row r="17">
      <c r="A17" s="84" t="inlineStr">
        <is>
          <t>learning_user</t>
        </is>
      </c>
      <c r="B17" s="84" t="inlineStr">
        <is>
          <t>—</t>
        </is>
      </c>
      <c r="C17" s="84" t="inlineStr">
        <is>
          <t>—</t>
        </is>
      </c>
      <c r="D17" s="84" t="inlineStr">
        <is>
          <t>Invariata.</t>
        </is>
      </c>
    </row>
    <row r="18">
      <c r="A18" s="84" t="inlineStr">
        <is>
          <t>learning_importanza</t>
        </is>
      </c>
      <c r="B18" s="84" t="inlineStr">
        <is>
          <t>learning_importanza</t>
        </is>
      </c>
      <c r="C18" s="84" t="inlineStr">
        <is>
          <t>— (eliminata)</t>
        </is>
      </c>
      <c r="D18" s="84" t="inlineStr">
        <is>
          <t>ELIMINATA con la colonna learning_lezione.priorita.</t>
        </is>
      </c>
    </row>
    <row r="20">
      <c r="A20" s="85" t="inlineStr">
        <is>
          <t>Perché learning_prerequisito non è stata eliminata</t>
        </is>
      </c>
    </row>
    <row r="21">
      <c r="A21" s="84" t="inlineStr">
        <is>
          <t>La regola «ultime cifre dell'ID meno 1» e' stata verificata su tutti i 119 archi esistenti: riproduce il dato esattamente in 64 casi su 96. Non copre 22 lezioni con piu' di un prerequisito, 18 archi fra aree diverse (COM-A1-001 richiede GRA-A1-003) e 15 lezioni con suffisso -001 (genererebbe -000, inesistente); in un caso inverte la dipendenza (COM-A1-002 richiede COM-A1-004). Eliminare la tabella avrebbe perso 55 archi su 119 e reso inutilizzabile la validazione del DAG in services.py. La logica e' comunque disponibile come campo derivato Lezione.prerequisito_derivato, esposto in API e mostrato nel frontend come «Segue X», senza impatti sullo schema.</t>
        </is>
      </c>
    </row>
    <row r="22"/>
    <row r="23"/>
    <row r="24"/>
    <row r="25"/>
  </sheetData>
  <mergeCells count="1">
    <mergeCell ref="A21:D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20"/>
  <sheetViews>
    <sheetView showFormulas="0" showGridLines="1" showRowColHeaders="1" showZeros="1" rightToLeft="0" tabSelected="0" showOutlineSymbols="1" defaultGridColor="1" view="normal" topLeftCell="A6" colorId="64" zoomScale="100" zoomScaleNormal="100" zoomScalePageLayoutView="100" workbookViewId="0">
      <selection pane="topLeft" activeCell="B2" activeCellId="0" sqref="B2"/>
    </sheetView>
  </sheetViews>
  <sheetFormatPr baseColWidth="8" defaultColWidth="8.66796875" defaultRowHeight="15" zeroHeight="0" outlineLevelRow="0"/>
  <cols>
    <col width="30" customWidth="1" style="39" min="1" max="1"/>
    <col width="120" customWidth="1" style="39" min="2" max="2"/>
  </cols>
  <sheetData>
    <row r="1" ht="18" customHeight="1" s="40">
      <c r="A1" s="41" t="inlineStr">
        <is>
          <t>LOGICA DIDATTICA</t>
        </is>
      </c>
    </row>
    <row r="2" ht="15" customHeight="1" s="40">
      <c r="A2" s="42" t="inlineStr">
        <is>
          <t>Le scelte progettuali alla base della nuova struttura del programma.</t>
        </is>
      </c>
    </row>
    <row r="4" ht="42" customHeight="1" s="40">
      <c r="A4" s="62" t="inlineStr">
        <is>
          <t>1. Categorie scelte</t>
        </is>
      </c>
      <c r="B4" s="63" t="inlineStr">
        <is>
          <t>Tre aree didattiche: GRAMMATICA (il sistema della lingua), VOCABOLARIO (le parole e le combinazioni) e COMUNICAZIONE (l'uso reale della lingua). Ogni area ha un codice ID (GRA, VOC, COM), un colore e un template di pagina dedicato.</t>
        </is>
      </c>
    </row>
    <row r="6" ht="97.5" customHeight="1" s="40">
      <c r="A6" s="62" t="inlineStr">
        <is>
          <t>2. Perché Dialogo e Produzione sono state unite</t>
        </is>
      </c>
      <c r="B6" s="63" t="inlineStr">
        <is>
          <t>Le vecchie categorie Dialogo e Produzione si sovrapponevano: entrambe allenavano la produzione orale e la differenza (conversazione a due vs. monologo/testo) è una differenza di FORMATO dell'attività, non di area didattica. Sono state quindi unite nell'area COMUNICAZIONE, e la distinzione è diventata una «Tipologia Lezione» interna con tre valori: DIALOGO (comprensione + interazione guidata in uno scenario), PRODUZIONE GUIDATA (lo studente produce con modello e traccia) e PRODUZIONE LIBERA (lo studente produce in autonomia con feedback). Questo realizza la distinzione didatticamente corretta comprensione → produzione guidata → produzione libera, senza moltiplicare le sezioni della Web App: nel menu l'utente vede una sola area «Comunicazione».</t>
        </is>
      </c>
    </row>
    <row r="8" ht="84" customHeight="1" s="40">
      <c r="A8" s="62" t="inlineStr">
        <is>
          <t>3. Categorie eliminate o reintegrate</t>
        </is>
      </c>
      <c r="B8" s="63" t="inlineStr">
        <is>
          <t>Speaking e Scrittura NON tornano come categorie separate: sono competenze trasversali, tracciate nella colonna «Competenze Allenate» (ogni lezione di Comunicazione indica se allena speaking, scrittura o entrambi).</t>
        </is>
      </c>
    </row>
    <row r="10" ht="84" customHeight="1" s="40">
      <c r="A10" s="62" t="inlineStr">
        <is>
          <t>4. Progressione da A1 a C1</t>
        </is>
      </c>
      <c r="B10" s="63" t="inlineStr">
        <is>
          <t>Ogni livello CEFR è un «capitolo» del percorso. Dentro ogni livello le lezioni si alternano secondo il ciclo: strumenti (grammatica + lessico) → applicazione (dialogo) → produzione guidata → produzione libera. La colonna «Ordine nel Percorso» definisce la sequenza consigliata unica (1-104); «Lezione Precedente/Successiva» la rendono navigabile; «Prerequisiti» elenca le dipendenze reali (che possono attraversare le aree: es. il dialogo «Raccontare il weekend» richiede il past simple). La difficoltà è ricalibrata ALL'INTERNO di ogni livello (una lezione A1 «Alta» resta più facile di una B2 «Bassa»).</t>
        </is>
      </c>
    </row>
    <row r="12" ht="55.5" customHeight="1" s="40">
      <c r="A12" s="62" t="inlineStr">
        <is>
          <t>5. Collegamento tra grammatica, vocabolario e comunicazione</t>
        </is>
      </c>
      <c r="B12" s="63" t="inlineStr">
        <is>
          <t>Regola dei blocchi: prima si insegnano gli strumenti (GRA/VOC), poi si usano in uno scenario (COM-Dialogo), poi si produce (COM-Produzione). Esempio A1: to be → «Presentarsi e salutare» (dialogo) → «Parlare di sé» (produzione guidata). Ogni lezione COM dichiara nei prerequisiti le lezioni GRA/VOC necessarie, così la Web App può bloccare o consigliare le lezioni nell'ordine giusto con una semplice logica a dipendenze.</t>
        </is>
      </c>
    </row>
    <row r="14" ht="55.5" customHeight="1" s="40">
      <c r="A14" s="62" t="inlineStr">
        <is>
          <t>6. Come si evitano le sovrapposizioni</t>
        </is>
      </c>
      <c r="B14" s="63" t="inlineStr">
        <is>
          <t>Speaking, Scrittura, Dialogo e Produzione non sono più categorie parallele ma tre livelli distinti del modello dati: AREA (dove sta la lezione nel menu) → TIPOLOGIA (che formato ha l'attività) → COMPETENZE (cosa allena). Una lezione appartiene a una sola area e a una sola tipologia, ma può allenare più competenze. Questo elimina ogni ambiguità di classificazione.</t>
        </is>
      </c>
    </row>
    <row r="16" ht="55.5" customHeight="1" s="40">
      <c r="A16" s="62" t="inlineStr">
        <is>
          <t>7. Focus sugli studenti italiani</t>
        </is>
      </c>
      <c r="B16" s="63" t="inlineStr">
        <is>
          <t>Ogni lezione ha la colonna «Errori Tipici degli Italiani» con calchi, falsi amici e interferenze specifiche (I have 25 years, informations, I am agree, in Monday, listen music...). Sono state aggiunte lezioni che esistono SOLO in ottica italiana: falsi amici (A1 e B1), preposizioni in/on/at, articoli avanzati e omissione, verbi+preposizioni.</t>
        </is>
      </c>
    </row>
    <row r="18" ht="97.5" customHeight="1" s="40">
      <c r="A18" s="62" t="inlineStr">
        <is>
          <t>8. Correzioni principali rispetto alla bozza</t>
        </is>
      </c>
      <c r="B18" s="63" t="inlineStr">
        <is>
          <t>a) Aggiunto il PRESENT CONTINUOUS, assente nella bozza pur essendo obbligatorio in A1, con lezione di contrasto simple/continuous. b) Aggiunte 8 lezioni A1 mancanti (possessivi, dimostrativi, question words, can, preposizioni, avverbi di frequenza...). c) Il Vocabolario passa da 3 a 17 lezioni: era sottodimensionato rispetto al suo peso didattico. d) Aggiunta la negativa/interrogativa del past simple (mancava). e) Riequilibrate le difficoltà (es. «to be negativa» da Media a Bassa; «present simple vs continuous» ad Alta). f) Aggiunti scenari comunicativi mancanti (negozio, reclami, e-mail semplice in A2). g) Descrizioni differenziate per tipologia invece del testo fotocopia.</t>
        </is>
      </c>
    </row>
    <row r="20" ht="55.5" customHeight="1" s="40">
      <c r="A20" s="62" t="inlineStr">
        <is>
          <t>9. Struttura minima per l'MVP</t>
        </is>
      </c>
      <c r="B20" s="63" t="inlineStr">
        <is>
          <t>MVP = solo livello A1 con le 3 aree già presenti ma in versione ridotta: ~26 lezioni (vedi foglio «Percorso MVP»). Funzionalità minime: pagina-lezione secondo i template, quiz a scelta multipla/completamento, percorso lineare con blocco sui prerequisiti, salvataggio dei progressi. Rimandate a fasi successive: feedback automatico sulla produzione libera, spaced repetition del lessico.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C6" activeCellId="0" sqref="C6"/>
    </sheetView>
  </sheetViews>
  <sheetFormatPr baseColWidth="8" defaultColWidth="8.66796875" defaultRowHeight="15" zeroHeight="0" outlineLevelRow="0"/>
  <cols>
    <col width="9" customWidth="1" style="39" min="1" max="1"/>
    <col width="22.33" customWidth="1" style="39" min="2" max="2"/>
    <col width="38" customWidth="1" style="39" min="3" max="3"/>
    <col width="14" customWidth="1" style="39" min="4" max="4"/>
    <col width="8" customWidth="1" style="39" min="5" max="5"/>
    <col width="13" customWidth="1" style="39" min="6" max="6"/>
    <col width="60" customWidth="1" style="39" min="7" max="7"/>
    <col width="26" customWidth="1" style="39" min="8" max="8"/>
    <col width="9" customWidth="1" style="39" min="9" max="9"/>
  </cols>
  <sheetData>
    <row r="1" ht="18" customHeight="1" s="40">
      <c r="A1" s="41" t="inlineStr">
        <is>
          <t>PERCORSO MVP — Prima versione della Web App</t>
        </is>
      </c>
    </row>
    <row r="2" ht="15" customHeight="1" s="40">
      <c r="A2" s="42" t="inlineStr">
        <is>
          <t>Le lezioni del percorso MVP. L'ordine è dato da «Ordine MVP» (learning_lezione.ordine_mvp): la classificazione Essenziale/Consigliata/Secondaria è stata rimossa dal modello dati insieme alla tabella learning_importanza.</t>
        </is>
      </c>
    </row>
    <row r="3"/>
    <row r="4" ht="27.75" customHeight="1" s="40">
      <c r="A4" s="44" t="inlineStr">
        <is>
          <t>Ordine MVP</t>
        </is>
      </c>
      <c r="B4" s="44" t="inlineStr">
        <is>
          <t>ID Lezione</t>
        </is>
      </c>
      <c r="C4" s="44" t="inlineStr">
        <is>
          <t>Titolo</t>
        </is>
      </c>
      <c r="D4" s="44" t="inlineStr">
        <is>
          <t>Area Didattica</t>
        </is>
      </c>
      <c r="E4" s="44" t="inlineStr">
        <is>
          <t>Livello</t>
        </is>
      </c>
      <c r="F4" s="44" t="inlineStr">
        <is>
          <t>Motivazione della Scelta</t>
        </is>
      </c>
      <c r="G4" s="44" t="inlineStr">
        <is>
          <t>Dipendenze (prerequisiti)</t>
        </is>
      </c>
      <c r="H4" s="44" t="inlineStr">
        <is>
          <t>Durata (min)</t>
        </is>
      </c>
    </row>
    <row r="5" ht="27.75" customHeight="1" s="40">
      <c r="A5" s="46" t="n">
        <v>1</v>
      </c>
      <c r="B5" s="46" t="inlineStr">
        <is>
          <t>GRA-A1-001</t>
        </is>
      </c>
      <c r="C5" s="56" t="inlineStr">
        <is>
          <t>L'ordine delle parole: Soggetto + Verbo + Oggetto</t>
        </is>
      </c>
      <c r="D5" s="47" t="inlineStr">
        <is>
          <t>Grammatica</t>
        </is>
      </c>
      <c r="E5" s="49" t="inlineStr">
        <is>
          <t>A1</t>
        </is>
      </c>
      <c r="F5" s="56" t="inlineStr">
        <is>
          <t>Fondamento di ogni frase: senza l'ordine SVO nessuna lezione successiva funziona.</t>
        </is>
      </c>
      <c r="G5" s="56" t="inlineStr">
        <is>
          <t>Nessuna</t>
        </is>
      </c>
      <c r="H5" s="46" t="n">
        <v>12</v>
      </c>
    </row>
    <row r="6" ht="27.75" customHeight="1" s="40">
      <c r="A6" s="46" t="n">
        <v>2</v>
      </c>
      <c r="B6" s="46" t="inlineStr">
        <is>
          <t>GRA-A1-002</t>
        </is>
      </c>
      <c r="C6" s="56" t="inlineStr">
        <is>
          <t>I pronomi personali: soggetto e complemento</t>
        </is>
      </c>
      <c r="D6" s="47" t="inlineStr">
        <is>
          <t>Grammatica</t>
        </is>
      </c>
      <c r="E6" s="49" t="inlineStr">
        <is>
          <t>A1</t>
        </is>
      </c>
      <c r="F6" s="56" t="inlineStr">
        <is>
          <t>I pronomi soggetto sono obbligatori in inglese: primo errore sistematico degli italiani.</t>
        </is>
      </c>
      <c r="G6" s="56" t="inlineStr">
        <is>
          <t>GRA-A1-001</t>
        </is>
      </c>
      <c r="H6" s="46" t="n">
        <v>12</v>
      </c>
    </row>
    <row r="7" ht="15" customHeight="1" s="40">
      <c r="A7" s="46" t="n">
        <v>3</v>
      </c>
      <c r="B7" s="46" t="inlineStr">
        <is>
          <t>GRA-A1-003</t>
        </is>
      </c>
      <c r="C7" s="56" t="inlineStr">
        <is>
          <t>Il verbo to be: forma affermativa</t>
        </is>
      </c>
      <c r="D7" s="47" t="inlineStr">
        <is>
          <t>Grammatica</t>
        </is>
      </c>
      <c r="E7" s="49" t="inlineStr">
        <is>
          <t>A1</t>
        </is>
      </c>
      <c r="F7" s="56" t="inlineStr">
        <is>
          <t>To be è il verbo più frequente e sblocca presentazioni e descrizioni.</t>
        </is>
      </c>
      <c r="G7" s="56" t="inlineStr">
        <is>
          <t>GRA-A1-002</t>
        </is>
      </c>
      <c r="H7" s="46" t="n">
        <v>12</v>
      </c>
    </row>
    <row r="8" ht="27.75" customHeight="1" s="40">
      <c r="A8" s="46" t="n">
        <v>4</v>
      </c>
      <c r="B8" s="46" t="inlineStr">
        <is>
          <t>GRA-A1-004</t>
        </is>
      </c>
      <c r="C8" s="56" t="inlineStr">
        <is>
          <t>Il verbo to be: negativa e interrogativa</t>
        </is>
      </c>
      <c r="D8" s="47" t="inlineStr">
        <is>
          <t>Grammatica</t>
        </is>
      </c>
      <c r="E8" s="49" t="inlineStr">
        <is>
          <t>A1</t>
        </is>
      </c>
      <c r="F8" s="56" t="inlineStr">
        <is>
          <t>Negazioni e domande con to be completano la prima struttura comunicativa.</t>
        </is>
      </c>
      <c r="G8" s="56" t="inlineStr">
        <is>
          <t>GRA-A1-003</t>
        </is>
      </c>
      <c r="H8" s="46" t="n">
        <v>12</v>
      </c>
    </row>
    <row r="9" ht="15" customHeight="1" s="40">
      <c r="A9" s="46" t="n">
        <v>5</v>
      </c>
      <c r="B9" s="46" t="inlineStr">
        <is>
          <t>COM-A1-001</t>
        </is>
      </c>
      <c r="C9" s="56" t="inlineStr">
        <is>
          <t>Presentarsi e salutare</t>
        </is>
      </c>
      <c r="D9" s="51" t="inlineStr">
        <is>
          <t>Comunicazione</t>
        </is>
      </c>
      <c r="E9" s="49" t="inlineStr">
        <is>
          <t>A1</t>
        </is>
      </c>
      <c r="F9" s="56" t="inlineStr">
        <is>
          <t>Prima esperienza comunicativa reale: motiva e applica subito to be.</t>
        </is>
      </c>
      <c r="G9" s="56" t="inlineStr">
        <is>
          <t>GRA-A1-003</t>
        </is>
      </c>
      <c r="H9" s="46" t="n">
        <v>15</v>
      </c>
    </row>
    <row r="10" ht="15" customHeight="1" s="40">
      <c r="A10" s="46" t="n">
        <v>6</v>
      </c>
      <c r="B10" s="46" t="inlineStr">
        <is>
          <t>VOC-A1-001</t>
        </is>
      </c>
      <c r="C10" s="56" t="inlineStr">
        <is>
          <t>Numeri, giorni, mesi e orari</t>
        </is>
      </c>
      <c r="D10" s="54" t="inlineStr">
        <is>
          <t>Vocabolario</t>
        </is>
      </c>
      <c r="E10" s="49" t="inlineStr">
        <is>
          <t>A1</t>
        </is>
      </c>
      <c r="F10" s="56" t="inlineStr">
        <is>
          <t>Numeri, giorni e orari sono indispensabili in qualunque scenario pratico.</t>
        </is>
      </c>
      <c r="G10" s="56" t="inlineStr">
        <is>
          <t>Nessuna</t>
        </is>
      </c>
      <c r="H10" s="46" t="n">
        <v>10</v>
      </c>
    </row>
    <row r="11" ht="15" customHeight="1" s="40">
      <c r="A11" s="46" t="n">
        <v>7</v>
      </c>
      <c r="B11" s="46" t="inlineStr">
        <is>
          <t>GRA-A1-005</t>
        </is>
      </c>
      <c r="C11" s="56" t="inlineStr">
        <is>
          <t>Gli articoli a, an e the: le basi</t>
        </is>
      </c>
      <c r="D11" s="47" t="inlineStr">
        <is>
          <t>Grammatica</t>
        </is>
      </c>
      <c r="E11" s="49" t="inlineStr">
        <is>
          <t>A1</t>
        </is>
      </c>
      <c r="F11" s="56" t="inlineStr">
        <is>
          <t>Gli articoli sono una delle principali fonti di errore per gli italiani.</t>
        </is>
      </c>
      <c r="G11" s="56" t="inlineStr">
        <is>
          <t>GRA-A1-004</t>
        </is>
      </c>
      <c r="H11" s="46" t="n">
        <v>12</v>
      </c>
    </row>
    <row r="12" ht="15" customHeight="1" s="40">
      <c r="A12" s="46" t="n">
        <v>8</v>
      </c>
      <c r="B12" s="46" t="inlineStr">
        <is>
          <t>GRA-A1-006</t>
        </is>
      </c>
      <c r="C12" s="56" t="inlineStr">
        <is>
          <t>Il plurale dei sostantivi (e i plurali irregolari)</t>
        </is>
      </c>
      <c r="D12" s="47" t="inlineStr">
        <is>
          <t>Grammatica</t>
        </is>
      </c>
      <c r="E12" s="49" t="inlineStr">
        <is>
          <t>A1</t>
        </is>
      </c>
      <c r="F12" s="56" t="inlineStr">
        <is>
          <t>Plurali irregolari e uncountable (informations!) vanno corretti subito.</t>
        </is>
      </c>
      <c r="G12" s="56" t="inlineStr">
        <is>
          <t>GRA-A1-005</t>
        </is>
      </c>
      <c r="H12" s="46" t="n">
        <v>12</v>
      </c>
    </row>
    <row r="13" ht="15" customHeight="1" s="40">
      <c r="A13" s="46" t="n">
        <v>9</v>
      </c>
      <c r="B13" s="46" t="inlineStr">
        <is>
          <t>VOC-A1-002</t>
        </is>
      </c>
      <c r="C13" s="56" t="inlineStr">
        <is>
          <t>Famiglia e descrizione delle persone</t>
        </is>
      </c>
      <c r="D13" s="54" t="inlineStr">
        <is>
          <t>Vocabolario</t>
        </is>
      </c>
      <c r="E13" s="49" t="inlineStr">
        <is>
          <t>A1</t>
        </is>
      </c>
      <c r="F13" s="56" t="inlineStr">
        <is>
          <t>Lessico della famiglia: base per le presentazioni personali.</t>
        </is>
      </c>
      <c r="G13" s="56" t="inlineStr">
        <is>
          <t>VOC-A1-001</t>
        </is>
      </c>
      <c r="H13" s="46" t="n">
        <v>10</v>
      </c>
    </row>
    <row r="14" ht="15" customHeight="1" s="40">
      <c r="A14" s="46" t="n">
        <v>10</v>
      </c>
      <c r="B14" s="46" t="inlineStr">
        <is>
          <t>GRA-A1-007</t>
        </is>
      </c>
      <c r="C14" s="56" t="inlineStr">
        <is>
          <t>Aggettivi possessivi e genitivo sassone</t>
        </is>
      </c>
      <c r="D14" s="47" t="inlineStr">
        <is>
          <t>Grammatica</t>
        </is>
      </c>
      <c r="E14" s="49" t="inlineStr">
        <is>
          <t>A1</t>
        </is>
      </c>
      <c r="F14" s="56" t="inlineStr">
        <is>
          <t>Il genitivo sassone non esiste in italiano: struttura da introdurre presto.</t>
        </is>
      </c>
      <c r="G14" s="56" t="inlineStr">
        <is>
          <t>GRA-A1-006</t>
        </is>
      </c>
      <c r="H14" s="46" t="n">
        <v>12</v>
      </c>
    </row>
    <row r="15" ht="15" customHeight="1" s="40">
      <c r="A15" s="46" t="n">
        <v>11</v>
      </c>
      <c r="B15" s="46" t="inlineStr">
        <is>
          <t>GRA-A1-009</t>
        </is>
      </c>
      <c r="C15" s="56" t="inlineStr">
        <is>
          <t>There is e there are</t>
        </is>
      </c>
      <c r="D15" s="47" t="inlineStr">
        <is>
          <t>Grammatica</t>
        </is>
      </c>
      <c r="E15" s="49" t="inlineStr">
        <is>
          <t>A1</t>
        </is>
      </c>
      <c r="F15" s="56" t="inlineStr">
        <is>
          <t>«C'è/ci sono» è tra le prime strutture richieste nelle descrizioni.</t>
        </is>
      </c>
      <c r="G15" s="56" t="inlineStr">
        <is>
          <t>GRA-A1-008</t>
        </is>
      </c>
      <c r="H15" s="46" t="n">
        <v>12</v>
      </c>
    </row>
    <row r="16" ht="15" customHeight="1" s="40">
      <c r="A16" s="46" t="n">
        <v>12</v>
      </c>
      <c r="B16" s="46" t="inlineStr">
        <is>
          <t>VOC-A1-003</t>
        </is>
      </c>
      <c r="C16" s="56" t="inlineStr">
        <is>
          <t>Casa e oggetti quotidiani</t>
        </is>
      </c>
      <c r="D16" s="54" t="inlineStr">
        <is>
          <t>Vocabolario</t>
        </is>
      </c>
      <c r="E16" s="49" t="inlineStr">
        <is>
          <t>A1</t>
        </is>
      </c>
      <c r="F16" s="56" t="inlineStr">
        <is>
          <t>Lessico descrittivo espandibile in seguito senza bloccare il percorso.</t>
        </is>
      </c>
      <c r="G16" s="56" t="inlineStr">
        <is>
          <t>VOC-A1-002</t>
        </is>
      </c>
      <c r="H16" s="46" t="n">
        <v>10</v>
      </c>
    </row>
    <row r="17" ht="15" customHeight="1" s="40">
      <c r="A17" s="46" t="n">
        <v>13</v>
      </c>
      <c r="B17" s="46" t="inlineStr">
        <is>
          <t>GRA-A1-010</t>
        </is>
      </c>
      <c r="C17" s="56" t="inlineStr">
        <is>
          <t>Have got per possesso e caratteristiche</t>
        </is>
      </c>
      <c r="D17" s="47" t="inlineStr">
        <is>
          <t>Grammatica</t>
        </is>
      </c>
      <c r="E17" s="49" t="inlineStr">
        <is>
          <t>A1</t>
        </is>
      </c>
      <c r="F17" s="56" t="inlineStr">
        <is>
          <t>Utile ma parzialmente sostituibile con have: può slittare alla Fase 2.</t>
        </is>
      </c>
      <c r="G17" s="56" t="inlineStr">
        <is>
          <t>GRA-A1-009</t>
        </is>
      </c>
      <c r="H17" s="46" t="n">
        <v>12</v>
      </c>
    </row>
    <row r="18" ht="15" customHeight="1" s="40">
      <c r="A18" s="46" t="n">
        <v>14</v>
      </c>
      <c r="B18" s="46" t="inlineStr">
        <is>
          <t>GRA-A1-011</t>
        </is>
      </c>
      <c r="C18" s="56" t="inlineStr">
        <is>
          <t>Present simple: forma affermativa</t>
        </is>
      </c>
      <c r="D18" s="47" t="inlineStr">
        <is>
          <t>Grammatica</t>
        </is>
      </c>
      <c r="E18" s="49" t="inlineStr">
        <is>
          <t>A1</t>
        </is>
      </c>
      <c r="F18" s="56" t="inlineStr">
        <is>
          <t>Il present simple è il cuore del livello A1; la -s è l'errore n.1 degli italiani.</t>
        </is>
      </c>
      <c r="G18" s="56" t="inlineStr">
        <is>
          <t>GRA-A1-010</t>
        </is>
      </c>
      <c r="H18" s="46" t="n">
        <v>12</v>
      </c>
    </row>
    <row r="19" ht="23.25" customHeight="1" s="40">
      <c r="A19" s="46" t="n">
        <v>15</v>
      </c>
      <c r="B19" s="46" t="inlineStr">
        <is>
          <t>GRA-A1-012</t>
        </is>
      </c>
      <c r="C19" s="56" t="inlineStr">
        <is>
          <t>Present simple: negazioni e domande con do/does</t>
        </is>
      </c>
      <c r="D19" s="47" t="inlineStr">
        <is>
          <t>Grammatica</t>
        </is>
      </c>
      <c r="E19" s="49" t="inlineStr">
        <is>
          <t>A1</t>
        </is>
      </c>
      <c r="F19" s="56" t="inlineStr">
        <is>
          <t>Do/does è il primo vero scoglio strutturale: senza, nessuna domanda è possibile.</t>
        </is>
      </c>
      <c r="G19" s="56" t="inlineStr">
        <is>
          <t>GRA-A1-011</t>
        </is>
      </c>
      <c r="H19" s="46" t="n">
        <v>12</v>
      </c>
    </row>
    <row r="20" ht="27.75" customHeight="1" s="40">
      <c r="A20" s="46" t="n">
        <v>16</v>
      </c>
      <c r="B20" s="46" t="inlineStr">
        <is>
          <t>GRA-A1-013</t>
        </is>
      </c>
      <c r="C20" s="56" t="inlineStr">
        <is>
          <t>Gli avverbi di frequenza e la loro posizione</t>
        </is>
      </c>
      <c r="D20" s="47" t="inlineStr">
        <is>
          <t>Grammatica</t>
        </is>
      </c>
      <c r="E20" s="49" t="inlineStr">
        <is>
          <t>A1</t>
        </is>
      </c>
      <c r="F20" s="56" t="inlineStr">
        <is>
          <t>La posizione degli avverbi consolida il present simple con poco sforzo.</t>
        </is>
      </c>
      <c r="G20" s="56" t="inlineStr">
        <is>
          <t>GRA-A1-012</t>
        </is>
      </c>
      <c r="H20" s="46" t="n">
        <v>10</v>
      </c>
    </row>
    <row r="21" ht="15" customHeight="1" s="40">
      <c r="A21" s="46" t="n">
        <v>17</v>
      </c>
      <c r="B21" s="46" t="inlineStr">
        <is>
          <t>COM-A1-004</t>
        </is>
      </c>
      <c r="C21" s="56" t="inlineStr">
        <is>
          <t>Parlare di sé: chi sono, cosa faccio</t>
        </is>
      </c>
      <c r="D21" s="51" t="inlineStr">
        <is>
          <t>Comunicazione</t>
        </is>
      </c>
      <c r="E21" s="49" t="inlineStr">
        <is>
          <t>A1</t>
        </is>
      </c>
      <c r="F21" s="56" t="inlineStr">
        <is>
          <t>Prima produzione personale: chiude il ciclo capire → imitare → produrre.</t>
        </is>
      </c>
      <c r="G21" s="56" t="inlineStr">
        <is>
          <t>COM-A1-001, GRA-A1-003</t>
        </is>
      </c>
      <c r="H21" s="46" t="n">
        <v>15</v>
      </c>
    </row>
    <row r="22" ht="23.25" customHeight="1" s="40">
      <c r="A22" s="46" t="n">
        <v>18</v>
      </c>
      <c r="B22" s="46" t="inlineStr">
        <is>
          <t>GRA-A1-014</t>
        </is>
      </c>
      <c r="C22" s="56" t="inlineStr">
        <is>
          <t>Le question words: who, what, where, when, why, how</t>
        </is>
      </c>
      <c r="D22" s="47" t="inlineStr">
        <is>
          <t>Grammatica</t>
        </is>
      </c>
      <c r="E22" s="49" t="inlineStr">
        <is>
          <t>A1</t>
        </is>
      </c>
      <c r="F22" s="56" t="inlineStr">
        <is>
          <t>Le wh-questions moltiplicano le capacità comunicative con una sola lezione.</t>
        </is>
      </c>
      <c r="G22" s="56" t="inlineStr">
        <is>
          <t>GRA-A1-013</t>
        </is>
      </c>
      <c r="H22" s="46" t="n">
        <v>12</v>
      </c>
    </row>
    <row r="23" ht="27.75" customHeight="1" s="40">
      <c r="A23" s="46" t="n">
        <v>19</v>
      </c>
      <c r="B23" s="46" t="inlineStr">
        <is>
          <t>GRA-A1-015</t>
        </is>
      </c>
      <c r="C23" s="56" t="inlineStr">
        <is>
          <t>Can e can't: abilità, permesso e richieste</t>
        </is>
      </c>
      <c r="D23" s="47" t="inlineStr">
        <is>
          <t>Grammatica</t>
        </is>
      </c>
      <c r="E23" s="49" t="inlineStr">
        <is>
          <t>A1</t>
        </is>
      </c>
      <c r="F23" s="56" t="inlineStr">
        <is>
          <t>Can è semplice, subito spendibile nei dialoghi (richieste al bar, permessi).</t>
        </is>
      </c>
      <c r="G23" s="56" t="inlineStr">
        <is>
          <t>GRA-A1-014</t>
        </is>
      </c>
      <c r="H23" s="46" t="n">
        <v>10</v>
      </c>
    </row>
    <row r="24" ht="15" customHeight="1" s="40">
      <c r="A24" s="46" t="n">
        <v>20</v>
      </c>
      <c r="B24" s="46" t="inlineStr">
        <is>
          <t>COM-A1-002</t>
        </is>
      </c>
      <c r="C24" s="56" t="inlineStr">
        <is>
          <t>Al bar: ordinare da bere e da mangiare</t>
        </is>
      </c>
      <c r="D24" s="51" t="inlineStr">
        <is>
          <t>Comunicazione</t>
        </is>
      </c>
      <c r="E24" s="49" t="inlineStr">
        <is>
          <t>A1</t>
        </is>
      </c>
      <c r="F24" s="56" t="inlineStr">
        <is>
          <t>Scenario ad alta frequenza d'uso; dimostra il valore pratico della app.</t>
        </is>
      </c>
      <c r="G24" s="56" t="inlineStr">
        <is>
          <t>COM-A1-004, GRA-A1-015</t>
        </is>
      </c>
      <c r="H24" s="46" t="n">
        <v>15</v>
      </c>
    </row>
    <row r="25" ht="15" customHeight="1" s="40">
      <c r="A25" s="46" t="n">
        <v>21</v>
      </c>
      <c r="B25" s="46" t="inlineStr">
        <is>
          <t>VOC-A1-004</t>
        </is>
      </c>
      <c r="C25" s="56" t="inlineStr">
        <is>
          <t>Cibo, bevande e pasti</t>
        </is>
      </c>
      <c r="D25" s="54" t="inlineStr">
        <is>
          <t>Vocabolario</t>
        </is>
      </c>
      <c r="E25" s="49" t="inlineStr">
        <is>
          <t>A1</t>
        </is>
      </c>
      <c r="F25" s="56" t="inlineStr">
        <is>
          <t>Sinergico con lo scenario bar/ristorante ma non bloccante.</t>
        </is>
      </c>
      <c r="G25" s="56" t="inlineStr">
        <is>
          <t>VOC-A1-003</t>
        </is>
      </c>
      <c r="H25" s="46" t="n">
        <v>10</v>
      </c>
    </row>
    <row r="26" ht="15" customHeight="1" s="40">
      <c r="A26" s="46" t="n">
        <v>22</v>
      </c>
      <c r="B26" s="46" t="inlineStr">
        <is>
          <t>GRA-A1-016</t>
        </is>
      </c>
      <c r="C26" s="56" t="inlineStr">
        <is>
          <t>Le preposizioni di tempo e luogo: in, on, at</t>
        </is>
      </c>
      <c r="D26" s="47" t="inlineStr">
        <is>
          <t>Grammatica</t>
        </is>
      </c>
      <c r="E26" s="49" t="inlineStr">
        <is>
          <t>A1</t>
        </is>
      </c>
      <c r="F26" s="56" t="inlineStr">
        <is>
          <t>In/on/at: l'area con più interferenza dall'italiano, serve dall'inizio.</t>
        </is>
      </c>
      <c r="G26" s="56" t="inlineStr">
        <is>
          <t>GRA-A1-015</t>
        </is>
      </c>
      <c r="H26" s="46" t="n">
        <v>15</v>
      </c>
    </row>
    <row r="27" ht="15" customHeight="1" s="40">
      <c r="A27" s="46" t="n">
        <v>23</v>
      </c>
      <c r="B27" s="46" t="inlineStr">
        <is>
          <t>COM-A1-003</t>
        </is>
      </c>
      <c r="C27" s="56" t="inlineStr">
        <is>
          <t>In hotel: fare il check-in</t>
        </is>
      </c>
      <c r="D27" s="51" t="inlineStr">
        <is>
          <t>Comunicazione</t>
        </is>
      </c>
      <c r="E27" s="49" t="inlineStr">
        <is>
          <t>A1</t>
        </is>
      </c>
      <c r="F27" s="56" t="inlineStr">
        <is>
          <t>Scenario utile ma meno frequente del bar: può slittare alla Fase 2.</t>
        </is>
      </c>
      <c r="G27" s="56" t="inlineStr">
        <is>
          <t>COM-A1-002, VOC-A1-001</t>
        </is>
      </c>
      <c r="H27" s="46" t="n">
        <v>15</v>
      </c>
    </row>
    <row r="28" ht="15" customHeight="1" s="40">
      <c r="A28" s="46" t="n">
        <v>24</v>
      </c>
      <c r="B28" s="46" t="inlineStr">
        <is>
          <t>GRA-A1-017</t>
        </is>
      </c>
      <c r="C28" s="56" t="inlineStr">
        <is>
          <t>Present continuous: azioni in corso</t>
        </is>
      </c>
      <c r="D28" s="47" t="inlineStr">
        <is>
          <t>Grammatica</t>
        </is>
      </c>
      <c r="E28" s="49" t="inlineStr">
        <is>
          <t>A1</t>
        </is>
      </c>
      <c r="F28" s="56" t="inlineStr">
        <is>
          <t>Il present continuous manca nella bozza originale ed è irrinunciabile in A1.</t>
        </is>
      </c>
      <c r="G28" s="56" t="inlineStr">
        <is>
          <t>GRA-A1-016</t>
        </is>
      </c>
      <c r="H28" s="46" t="n">
        <v>12</v>
      </c>
    </row>
    <row r="29" ht="15" customHeight="1" s="40">
      <c r="A29" s="46" t="n">
        <v>25</v>
      </c>
      <c r="B29" s="46" t="inlineStr">
        <is>
          <t>GRA-A1-018</t>
        </is>
      </c>
      <c r="C29" s="56" t="inlineStr">
        <is>
          <t>Present simple o present continuous?</t>
        </is>
      </c>
      <c r="D29" s="47" t="inlineStr">
        <is>
          <t>Grammatica</t>
        </is>
      </c>
      <c r="E29" s="49" t="inlineStr">
        <is>
          <t>A1</t>
        </is>
      </c>
      <c r="F29" s="56" t="inlineStr">
        <is>
          <t>Il contrasto simple/continuous previene l'errore più persistente del livello.</t>
        </is>
      </c>
      <c r="G29" s="56" t="inlineStr">
        <is>
          <t>GRA-A1-017, GRA-A1-011</t>
        </is>
      </c>
      <c r="H29" s="46" t="n">
        <v>15</v>
      </c>
    </row>
    <row r="30" ht="23.25" customHeight="1" s="40">
      <c r="A30" s="46" t="n">
        <v>26</v>
      </c>
      <c r="B30" s="46" t="inlineStr">
        <is>
          <t>COM-A1-005</t>
        </is>
      </c>
      <c r="C30" s="56" t="inlineStr">
        <is>
          <t>Descrivere la propria routine quotidiana</t>
        </is>
      </c>
      <c r="D30" s="51" t="inlineStr">
        <is>
          <t>Comunicazione</t>
        </is>
      </c>
      <c r="E30" s="49" t="inlineStr">
        <is>
          <t>A1</t>
        </is>
      </c>
      <c r="F30" s="56" t="inlineStr">
        <is>
          <t>Applica present simple e avverbi in un compito reale.</t>
        </is>
      </c>
      <c r="G30" s="56" t="inlineStr">
        <is>
          <t>COM-A1-003, GRA-A1-011, GRA-A1-013</t>
        </is>
      </c>
      <c r="H30" s="46" t="n">
        <v>15</v>
      </c>
    </row>
    <row r="31" ht="27.75" customHeight="1" s="40">
      <c r="A31" s="46" t="n">
        <v>27</v>
      </c>
      <c r="B31" s="46" t="inlineStr">
        <is>
          <t>VOC-A1-005</t>
        </is>
      </c>
      <c r="C31" s="56" t="inlineStr">
        <is>
          <t>Falsi amici essenziali</t>
        </is>
      </c>
      <c r="D31" s="54" t="inlineStr">
        <is>
          <t>Vocabolario</t>
        </is>
      </c>
      <c r="E31" s="49" t="inlineStr">
        <is>
          <t>A1</t>
        </is>
      </c>
      <c r="F31" s="56" t="inlineStr">
        <is>
          <t>I falsi amici sono il tratto distintivo di una app pensata per italiani.</t>
        </is>
      </c>
      <c r="G31" s="56" t="inlineStr">
        <is>
          <t>VOC-A1-004</t>
        </is>
      </c>
      <c r="H31" s="46" t="n">
        <v>12</v>
      </c>
    </row>
    <row r="32" ht="23.25" customHeight="1" s="40">
      <c r="A32" s="46" t="n">
        <v>28</v>
      </c>
      <c r="B32" s="46" t="inlineStr">
        <is>
          <t>GRA-A2-001</t>
        </is>
      </c>
      <c r="C32" s="56" t="inlineStr">
        <is>
          <t>Past simple del verbo to be</t>
        </is>
      </c>
      <c r="D32" s="47" t="inlineStr">
        <is>
          <t>Grammatica</t>
        </is>
      </c>
      <c r="E32" s="58" t="inlineStr">
        <is>
          <t>A2</t>
        </is>
      </c>
      <c r="F32" s="56" t="inlineStr">
        <is>
          <t>Primo passo verso l'A2: incluso solo se l'MVP vuole mostrare la progressione.</t>
        </is>
      </c>
      <c r="G32" s="56" t="inlineStr">
        <is>
          <t>GRA-A1-018</t>
        </is>
      </c>
      <c r="H32" s="46" t="n">
        <v>12</v>
      </c>
    </row>
    <row r="33" ht="27.75" customHeight="1" s="40"/>
    <row r="34" ht="15" customHeight="1" s="40">
      <c r="B34" s="67" t="inlineStr">
        <is>
          <t>Totale lezioni MVP</t>
        </is>
      </c>
      <c r="C34" s="68">
        <f>COUNTA(B5:B32)</f>
        <v/>
      </c>
    </row>
    <row r="35" ht="15" customHeight="1" s="40">
      <c r="B35" s="67" t="inlineStr">
        <is>
          <t>Durata totale (min)</t>
        </is>
      </c>
      <c r="C35" s="68">
        <f>SUM(I5:I32)</f>
        <v/>
      </c>
    </row>
    <row r="36" ht="15" customHeight="1" s="40">
      <c r="B36" s="67" t="inlineStr">
        <is>
          <t>Essenziali</t>
        </is>
      </c>
      <c r="C36" s="68">
        <f>COUNTIF(F5:F32,"Essenziale")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16" customWidth="1" style="39" min="1" max="1"/>
    <col width="34" customWidth="1" style="39" min="2" max="2"/>
    <col width="44" customWidth="1" style="39" min="3" max="3"/>
    <col width="26" customWidth="1" style="39" min="4" max="4"/>
    <col width="52" customWidth="1" style="39" min="5" max="5"/>
    <col width="10" customWidth="1" style="39" min="6" max="6"/>
    <col width="11" customWidth="1" style="39" min="7" max="7"/>
    <col width="30" customWidth="1" style="39" min="8" max="8"/>
  </cols>
  <sheetData>
    <row r="1" ht="18" customHeight="1" s="40">
      <c r="A1" s="41" t="inlineStr">
        <is>
          <t>ROADMAP DI SVILUPPO</t>
        </is>
      </c>
    </row>
    <row r="2" ht="15" customHeight="1" s="40">
      <c r="A2" s="42" t="inlineStr">
        <is>
          <t>Cinque fasi incrementali: ogni fase produce una app utilizzabile e più completa della precedente.</t>
        </is>
      </c>
    </row>
    <row r="4" ht="27.75" customHeight="1" s="40">
      <c r="A4" s="44" t="inlineStr">
        <is>
          <t>Fase</t>
        </is>
      </c>
      <c r="B4" s="44" t="inlineStr">
        <is>
          <t>Obiettivo</t>
        </is>
      </c>
      <c r="C4" s="44" t="inlineStr">
        <is>
          <t>Lezioni da Sviluppare</t>
        </is>
      </c>
      <c r="D4" s="44" t="inlineStr">
        <is>
          <t>Categorie Coinvolte</t>
        </is>
      </c>
      <c r="E4" s="44" t="inlineStr">
        <is>
          <t>Funzionalità Necessarie</t>
        </is>
      </c>
      <c r="F4" s="44" t="inlineStr">
        <is>
          <t>Priorità</t>
        </is>
      </c>
      <c r="G4" s="44" t="inlineStr">
        <is>
          <t>Complessità</t>
        </is>
      </c>
      <c r="H4" s="44" t="inlineStr">
        <is>
          <t>Dipendenze</t>
        </is>
      </c>
    </row>
    <row r="5" ht="67.5" customHeight="1" s="40">
      <c r="A5" s="69" t="inlineStr">
        <is>
          <t>Fase 1 — MVP</t>
        </is>
      </c>
      <c r="B5" s="56" t="inlineStr">
        <is>
          <t>Percorso A1 completo e utilizzabile «da zero alla prima conversazione».</t>
        </is>
      </c>
      <c r="C5" s="56" t="inlineStr">
        <is>
          <t>Le 26 lezioni del foglio «Percorso MVP» (partendo dalle 12 Essenziali).</t>
        </is>
      </c>
      <c r="D5" s="56" t="inlineStr">
        <is>
          <t>Grammatica, Vocabolario, Comunicazione</t>
        </is>
      </c>
      <c r="E5" s="56" t="inlineStr">
        <is>
          <t>Pagina-lezione secondo i 3 template; quiz a scelta multipla e completamento; percorso lineare con blocco sui prerequisiti; salvataggio progressi.</t>
        </is>
      </c>
      <c r="F5" s="57" t="inlineStr">
        <is>
          <t>Alta</t>
        </is>
      </c>
      <c r="G5" s="55" t="inlineStr">
        <is>
          <t>Media</t>
        </is>
      </c>
      <c r="H5" s="56" t="inlineStr">
        <is>
          <t>Nessuna</t>
        </is>
      </c>
    </row>
    <row r="6" ht="67.5" customHeight="1" s="40">
      <c r="A6" s="69" t="inlineStr">
        <is>
          <t>Fase 2 — Ampliamento A1-A2</t>
        </is>
      </c>
      <c r="B6" s="56" t="inlineStr">
        <is>
          <t>Coprire integralmente i livelli A1 e A2 (56 lezioni totali).</t>
        </is>
      </c>
      <c r="C6" s="56" t="inlineStr">
        <is>
          <t>Le lezioni A1 rimanenti (Secondarie) e tutte le 25 lezioni A2.</t>
        </is>
      </c>
      <c r="D6" s="56" t="inlineStr">
        <is>
          <t>Tutte e tre le aree</t>
        </is>
      </c>
      <c r="E6" s="56" t="inlineStr">
        <is>
          <t>Esercizi di riordino frase e abbinamento; dettati brevi; ripasso programmato del lessico (spaced repetition); statistiche di avanzamento per area.</t>
        </is>
      </c>
      <c r="F6" s="57" t="inlineStr">
        <is>
          <t>Alta</t>
        </is>
      </c>
      <c r="G6" s="55" t="inlineStr">
        <is>
          <t>Media</t>
        </is>
      </c>
      <c r="H6" s="56" t="inlineStr">
        <is>
          <t>Fase 1 completata</t>
        </is>
      </c>
    </row>
    <row r="7" ht="67.5" customHeight="1" s="40">
      <c r="A7" s="69" t="inlineStr">
        <is>
          <t>Fase 3 — Introduzione B1</t>
        </is>
      </c>
      <c r="B7" s="56" t="inlineStr">
        <is>
          <t>Aprire il livello intermedio con test d'ingresso.</t>
        </is>
      </c>
      <c r="C7" s="56" t="inlineStr">
        <is>
          <t>Le 22 lezioni B1 (priorità: present perfect vs past simple, tempi narrativi, phrasal verbs, colloquio di lavoro).</t>
        </is>
      </c>
      <c r="D7" s="56" t="inlineStr">
        <is>
          <t>Tutte e tre le aree</t>
        </is>
      </c>
      <c r="E7" s="56" t="inlineStr">
        <is>
          <t>Test di livello iniziale; produzione scritta con auto-valutazione guidata (checklist); registrazione vocale per lo speaking; certificato di completamento livello.</t>
        </is>
      </c>
      <c r="F7" s="55" t="inlineStr">
        <is>
          <t>Media</t>
        </is>
      </c>
      <c r="G7" s="57" t="inlineStr">
        <is>
          <t>Alta</t>
        </is>
      </c>
      <c r="H7" s="56" t="inlineStr">
        <is>
          <t>Fase 2 completata</t>
        </is>
      </c>
    </row>
    <row r="8" ht="67.5" customHeight="1" s="40">
      <c r="A8" s="69" t="inlineStr">
        <is>
          <t>Fase 4 — Ampliamento B2-C1</t>
        </is>
      </c>
      <c r="B8" s="56" t="inlineStr">
        <is>
          <t>Completare il percorso fino al livello avanzato.</t>
        </is>
      </c>
      <c r="C8" s="56" t="inlineStr">
        <is>
          <t>Le 15 lezioni B2 e le 11 lezioni C1.</t>
        </is>
      </c>
      <c r="D8" s="56" t="inlineStr">
        <is>
          <t>Grammatica, Vocabolario, Comunicazione</t>
        </is>
      </c>
      <c r="E8" s="56" t="inlineStr">
        <is>
          <t>Feedback AI sulla produzione libera (scritta e orale); simulazioni di dialogo a risposta aperta; percorsi tematici (Business English, Travel).</t>
        </is>
      </c>
      <c r="F8" s="55" t="inlineStr">
        <is>
          <t>Media</t>
        </is>
      </c>
      <c r="G8" s="57" t="inlineStr">
        <is>
          <t>Alta</t>
        </is>
      </c>
      <c r="H8" s="56" t="inlineStr">
        <is>
          <t>Fase 3 completata</t>
        </is>
      </c>
    </row>
    <row r="9" ht="67.5" customHeight="1" s="40">
      <c r="A9" s="69" t="inlineStr">
        <is>
          <t>Fase 5 — Funzionalità avanzate</t>
        </is>
      </c>
      <c r="B9" s="56" t="inlineStr">
        <is>
          <t>Fidelizzazione e personalizzazione dell'apprendimento.</t>
        </is>
      </c>
      <c r="C9" s="56" t="inlineStr">
        <is>
          <t>Nessuna nuova lezione: consolidamento e contenuti extra (lezioni stagionali, cultura).</t>
        </is>
      </c>
      <c r="D9" s="56" t="inlineStr">
        <is>
          <t>Trasversale</t>
        </is>
      </c>
      <c r="E9" s="56" t="inlineStr">
        <is>
          <t>Percorsi adattivi basati sugli errori dell'utente; gamification (streak, badge, classifiche); modalità ripasso rapido; app offline; notifiche intelligenti.</t>
        </is>
      </c>
      <c r="F9" s="49" t="inlineStr">
        <is>
          <t>Bassa</t>
        </is>
      </c>
      <c r="G9" s="57" t="inlineStr">
        <is>
          <t>Alta</t>
        </is>
      </c>
      <c r="H9" s="56" t="inlineStr">
        <is>
          <t>Fasi 1-4; base utenti attiva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7" activeCellId="0" sqref="B7"/>
    </sheetView>
  </sheetViews>
  <sheetFormatPr baseColWidth="8" defaultColWidth="8.66796875" defaultRowHeight="15" zeroHeight="0" outlineLevelRow="0"/>
  <cols>
    <col width="27" customWidth="1" style="39" min="1" max="1"/>
    <col width="30" customWidth="1" style="39" min="2" max="2"/>
    <col width="36" customWidth="1" style="39" min="3" max="3"/>
    <col width="60" customWidth="1" style="39" min="4" max="4"/>
    <col width="26" customWidth="1" style="39" min="5" max="5"/>
  </cols>
  <sheetData>
    <row r="1" ht="18" customHeight="1" s="40">
      <c r="A1" s="41" t="inlineStr">
        <is>
          <t>Template della pagina-lezione — Grammatica</t>
        </is>
      </c>
    </row>
    <row r="2" ht="265.5" customHeight="1" s="40">
      <c r="A2" s="70" t="inlineStr">
        <is>
          <t>Struttura fissa per spiegare una regola a uno studente italiano: dalla regola all'esercizio, con gli errori tipici come sezione dedicata.</t>
        </is>
      </c>
    </row>
    <row r="4" ht="15" customHeight="1" s="40">
      <c r="A4" s="44" t="inlineStr">
        <is>
          <t>Ordine</t>
        </is>
      </c>
      <c r="B4" s="44" t="inlineStr">
        <is>
          <t>Sezione della Lezione</t>
        </is>
      </c>
      <c r="C4" s="44" t="inlineStr">
        <is>
          <t>Obiettivo</t>
        </is>
      </c>
      <c r="D4" s="44" t="inlineStr">
        <is>
          <t>Contenuto Previsto</t>
        </is>
      </c>
      <c r="E4" s="44" t="inlineStr">
        <is>
          <t>Formato Web App</t>
        </is>
      </c>
    </row>
    <row r="5" ht="27.75" customHeight="1" s="40">
      <c r="A5" s="71" t="n">
        <v>1</v>
      </c>
      <c r="B5" s="56" t="inlineStr">
        <is>
          <t>Obiettivo della lezione</t>
        </is>
      </c>
      <c r="C5" s="56" t="inlineStr">
        <is>
          <t>Dire subito cosa si saprà fare alla fine.</t>
        </is>
      </c>
      <c r="D5" s="56" t="inlineStr">
        <is>
          <t>Una frase concreta («Alla fine saprai dire cosa stai facendo in questo momento»).</t>
        </is>
      </c>
      <c r="E5" s="56" t="inlineStr">
        <is>
          <t>Banner in evidenza</t>
        </is>
      </c>
    </row>
    <row r="6" ht="15" customHeight="1" s="40">
      <c r="A6" s="71" t="n">
        <v>2</v>
      </c>
      <c r="B6" s="56" t="inlineStr">
        <is>
          <t>Regola e quando si usa</t>
        </is>
      </c>
      <c r="C6" s="56" t="inlineStr">
        <is>
          <t>Spiegare la regola con parole semplici.</t>
        </is>
      </c>
      <c r="D6" s="56" t="inlineStr">
        <is>
          <t>Definizione breve, contesti d'uso, confronto immediato con l'italiano.</t>
        </is>
      </c>
      <c r="E6" s="56" t="inlineStr">
        <is>
          <t>Testo + box evidenziato</t>
        </is>
      </c>
    </row>
    <row r="7" ht="27.75" customHeight="1" s="40">
      <c r="A7" s="71" t="n">
        <v>3</v>
      </c>
      <c r="B7" s="56" t="inlineStr">
        <is>
          <t>Struttura</t>
        </is>
      </c>
      <c r="C7" s="56" t="inlineStr">
        <is>
          <t>Mostrare come si costruisce la forma.</t>
        </is>
      </c>
      <c r="D7" s="56" t="inlineStr">
        <is>
          <t>Affermativa, negativa e interrogativa con schema colore; eccezioni principali.</t>
        </is>
      </c>
      <c r="E7" s="56" t="inlineStr">
        <is>
          <t>Tabella o schema</t>
        </is>
      </c>
    </row>
    <row r="8" ht="15" customHeight="1" s="40">
      <c r="A8" s="71" t="n">
        <v>4</v>
      </c>
      <c r="B8" s="56" t="inlineStr">
        <is>
          <t>Esempi con traduzione</t>
        </is>
      </c>
      <c r="C8" s="56" t="inlineStr">
        <is>
          <t>Vedere la regola in frasi reali.</t>
        </is>
      </c>
      <c r="D8" s="56" t="inlineStr">
        <is>
          <t>6-8 esempi inglesi con traduzione italiana e parole chiave evidenziate.</t>
        </is>
      </c>
      <c r="E8" s="56" t="inlineStr">
        <is>
          <t>Card di esempio</t>
        </is>
      </c>
    </row>
    <row r="9" ht="27.75" customHeight="1" s="40">
      <c r="A9" s="71" t="n">
        <v>5</v>
      </c>
      <c r="B9" s="56" t="inlineStr">
        <is>
          <t>Errori tipici degli italiani</t>
        </is>
      </c>
      <c r="C9" s="56" t="inlineStr">
        <is>
          <t>Prevenire i calchi dall'italiano.</t>
        </is>
      </c>
      <c r="D9" s="56" t="inlineStr">
        <is>
          <t>Frase sbagliata → frase corretta → perché (es. «I have 25 years» → «I am 25»).</t>
        </is>
      </c>
      <c r="E9" s="56" t="inlineStr">
        <is>
          <t>Box confronto ❌/✅</t>
        </is>
      </c>
    </row>
    <row r="10" ht="15" customHeight="1" s="40">
      <c r="A10" s="71" t="n">
        <v>6</v>
      </c>
      <c r="B10" s="56" t="inlineStr">
        <is>
          <t>Confronto con forme simili</t>
        </is>
      </c>
      <c r="C10" s="56" t="inlineStr">
        <is>
          <t>Ridurre la confusione tra strutture vicine.</t>
        </is>
      </c>
      <c r="D10" s="56" t="inlineStr">
        <is>
          <t>Differenze con tempi o strutture affini (es. present simple vs continuous).</t>
        </is>
      </c>
      <c r="E10" s="56" t="inlineStr">
        <is>
          <t>Tabella comparativa</t>
        </is>
      </c>
    </row>
    <row r="11" ht="15" customHeight="1" s="40">
      <c r="A11" s="71" t="n">
        <v>7</v>
      </c>
      <c r="B11" s="56" t="inlineStr">
        <is>
          <t>Esercizio guidato</t>
        </is>
      </c>
      <c r="C11" s="56" t="inlineStr">
        <is>
          <t>Applicare con aiuto.</t>
        </is>
      </c>
      <c r="D11" s="56" t="inlineStr">
        <is>
          <t>Completamento con suggerimenti e correzione immediata spiegata.</t>
        </is>
      </c>
      <c r="E11" s="56" t="inlineStr">
        <is>
          <t>Quiz assistito</t>
        </is>
      </c>
    </row>
    <row r="12" ht="15" customHeight="1" s="40">
      <c r="A12" s="71" t="n">
        <v>8</v>
      </c>
      <c r="B12" s="56" t="inlineStr">
        <is>
          <t>Esercizio finale</t>
        </is>
      </c>
      <c r="C12" s="56" t="inlineStr">
        <is>
          <t>Verificare l'apprendimento.</t>
        </is>
      </c>
      <c r="D12" s="56" t="inlineStr">
        <is>
          <t>8-10 quesiti misti (scelta multipla, completamento, riordino) con punteggio.</t>
        </is>
      </c>
      <c r="E12" s="56" t="inlineStr">
        <is>
          <t>Quiz interattivo</t>
        </is>
      </c>
    </row>
    <row r="13" ht="15" customHeight="1" s="40">
      <c r="A13" s="71" t="n">
        <v>9</v>
      </c>
      <c r="B13" s="56" t="inlineStr">
        <is>
          <t>Riepilogo e prossima lezione</t>
        </is>
      </c>
      <c r="C13" s="56" t="inlineStr">
        <is>
          <t>Consolidare e guidare il percorso.</t>
        </is>
      </c>
      <c r="D13" s="56" t="inlineStr">
        <is>
          <t>Scheda riassuntiva scaricabile e collegamento alla lezione successiva.</t>
        </is>
      </c>
      <c r="E13" s="56" t="inlineStr">
        <is>
          <t>Card + pulsante di navigazione</t>
        </is>
      </c>
    </row>
    <row r="15" ht="15.75" customHeight="1" s="40">
      <c r="A15" s="72" t="inlineStr">
        <is>
          <t>Lezioni dell'area Grammatica</t>
        </is>
      </c>
    </row>
    <row r="16" ht="42" customHeight="1" s="40">
      <c r="A16" s="44" t="inlineStr">
        <is>
          <t>ID Lezione</t>
        </is>
      </c>
      <c r="B16" s="44" t="inlineStr">
        <is>
          <t>Tipologia</t>
        </is>
      </c>
      <c r="C16" s="44" t="inlineStr">
        <is>
          <t>Nome Lezione</t>
        </is>
      </c>
      <c r="D16" s="44" t="inlineStr">
        <is>
          <t>Livello</t>
        </is>
      </c>
      <c r="E16" s="44" t="inlineStr">
        <is>
          <t>Difficoltà</t>
        </is>
      </c>
      <c r="F16" s="44" t="inlineStr">
        <is>
          <t>Durata (min)</t>
        </is>
      </c>
      <c r="G16" s="44" t="inlineStr">
        <is>
          <t>Ordine nel Percorso</t>
        </is>
      </c>
    </row>
    <row r="17" ht="27.75" customHeight="1" s="40">
      <c r="A17" s="46" t="inlineStr">
        <is>
          <t>GRA-A1-001</t>
        </is>
      </c>
      <c r="B17" s="56" t="inlineStr">
        <is>
          <t>Regola ed esercizi</t>
        </is>
      </c>
      <c r="C17" s="56" t="inlineStr">
        <is>
          <t>L'ordine delle parole: Soggetto + Verbo + Oggetto</t>
        </is>
      </c>
      <c r="D17" s="49" t="inlineStr">
        <is>
          <t>A1</t>
        </is>
      </c>
      <c r="E17" s="49" t="inlineStr">
        <is>
          <t>Bassa</t>
        </is>
      </c>
      <c r="F17" s="46" t="n">
        <v>12</v>
      </c>
      <c r="G17" s="46" t="n">
        <v>1</v>
      </c>
    </row>
    <row r="18" ht="27.75" customHeight="1" s="40">
      <c r="A18" s="46" t="inlineStr">
        <is>
          <t>GRA-A1-002</t>
        </is>
      </c>
      <c r="B18" s="56" t="inlineStr">
        <is>
          <t>Regola ed esercizi</t>
        </is>
      </c>
      <c r="C18" s="56" t="inlineStr">
        <is>
          <t>I pronomi personali: soggetto e complemento</t>
        </is>
      </c>
      <c r="D18" s="49" t="inlineStr">
        <is>
          <t>A1</t>
        </is>
      </c>
      <c r="E18" s="49" t="inlineStr">
        <is>
          <t>Bassa</t>
        </is>
      </c>
      <c r="F18" s="46" t="n">
        <v>12</v>
      </c>
      <c r="G18" s="46" t="n">
        <v>2</v>
      </c>
    </row>
    <row r="19" ht="27.75" customHeight="1" s="40">
      <c r="A19" s="46" t="inlineStr">
        <is>
          <t>GRA-A1-003</t>
        </is>
      </c>
      <c r="B19" s="56" t="inlineStr">
        <is>
          <t>Regola ed esercizi</t>
        </is>
      </c>
      <c r="C19" s="56" t="inlineStr">
        <is>
          <t>Il verbo to be: forma affermativa</t>
        </is>
      </c>
      <c r="D19" s="49" t="inlineStr">
        <is>
          <t>A1</t>
        </is>
      </c>
      <c r="E19" s="49" t="inlineStr">
        <is>
          <t>Bassa</t>
        </is>
      </c>
      <c r="F19" s="46" t="n">
        <v>12</v>
      </c>
      <c r="G19" s="46" t="n">
        <v>3</v>
      </c>
    </row>
    <row r="20" ht="27.75" customHeight="1" s="40">
      <c r="A20" s="46" t="inlineStr">
        <is>
          <t>GRA-A1-004</t>
        </is>
      </c>
      <c r="B20" s="56" t="inlineStr">
        <is>
          <t>Regola ed esercizi</t>
        </is>
      </c>
      <c r="C20" s="56" t="inlineStr">
        <is>
          <t>Il verbo to be: negativa e interrogativa</t>
        </is>
      </c>
      <c r="D20" s="49" t="inlineStr">
        <is>
          <t>A1</t>
        </is>
      </c>
      <c r="E20" s="49" t="inlineStr">
        <is>
          <t>Bassa</t>
        </is>
      </c>
      <c r="F20" s="46" t="n">
        <v>12</v>
      </c>
      <c r="G20" s="46" t="n">
        <v>4</v>
      </c>
    </row>
    <row r="21" ht="27.75" customHeight="1" s="40">
      <c r="A21" s="46" t="inlineStr">
        <is>
          <t>GRA-A1-005</t>
        </is>
      </c>
      <c r="B21" s="56" t="inlineStr">
        <is>
          <t>Regola ed esercizi</t>
        </is>
      </c>
      <c r="C21" s="56" t="inlineStr">
        <is>
          <t>Gli articoli a, an e the: le basi</t>
        </is>
      </c>
      <c r="D21" s="49" t="inlineStr">
        <is>
          <t>A1</t>
        </is>
      </c>
      <c r="E21" s="55" t="inlineStr">
        <is>
          <t>Media</t>
        </is>
      </c>
      <c r="F21" s="46" t="n">
        <v>12</v>
      </c>
      <c r="G21" s="46" t="n">
        <v>7</v>
      </c>
    </row>
    <row r="22" ht="27.75" customHeight="1" s="40">
      <c r="A22" s="46" t="inlineStr">
        <is>
          <t>GRA-A1-006</t>
        </is>
      </c>
      <c r="B22" s="56" t="inlineStr">
        <is>
          <t>Regola ed esercizi</t>
        </is>
      </c>
      <c r="C22" s="56" t="inlineStr">
        <is>
          <t>Il plurale dei sostantivi (e i plurali irregolari)</t>
        </is>
      </c>
      <c r="D22" s="49" t="inlineStr">
        <is>
          <t>A1</t>
        </is>
      </c>
      <c r="E22" s="49" t="inlineStr">
        <is>
          <t>Bassa</t>
        </is>
      </c>
      <c r="F22" s="46" t="n">
        <v>12</v>
      </c>
      <c r="G22" s="46" t="n">
        <v>8</v>
      </c>
    </row>
    <row r="23" ht="27.75" customHeight="1" s="40">
      <c r="A23" s="46" t="inlineStr">
        <is>
          <t>GRA-A1-007</t>
        </is>
      </c>
      <c r="B23" s="56" t="inlineStr">
        <is>
          <t>Regola ed esercizi</t>
        </is>
      </c>
      <c r="C23" s="56" t="inlineStr">
        <is>
          <t>Aggettivi possessivi e genitivo sassone</t>
        </is>
      </c>
      <c r="D23" s="49" t="inlineStr">
        <is>
          <t>A1</t>
        </is>
      </c>
      <c r="E23" s="55" t="inlineStr">
        <is>
          <t>Media</t>
        </is>
      </c>
      <c r="F23" s="46" t="n">
        <v>12</v>
      </c>
      <c r="G23" s="46" t="n">
        <v>10</v>
      </c>
    </row>
    <row r="24" ht="27.75" customHeight="1" s="40">
      <c r="A24" s="46" t="inlineStr">
        <is>
          <t>GRA-A1-008</t>
        </is>
      </c>
      <c r="B24" s="56" t="inlineStr">
        <is>
          <t>Regola ed esercizi</t>
        </is>
      </c>
      <c r="C24" s="56" t="inlineStr">
        <is>
          <t>Dimostrativi: this, that, these, those</t>
        </is>
      </c>
      <c r="D24" s="49" t="inlineStr">
        <is>
          <t>A1</t>
        </is>
      </c>
      <c r="E24" s="49" t="inlineStr">
        <is>
          <t>Bassa</t>
        </is>
      </c>
      <c r="F24" s="46" t="n">
        <v>10</v>
      </c>
      <c r="G24" s="46" t="n">
        <v>11</v>
      </c>
    </row>
    <row r="25" ht="27.75" customHeight="1" s="40">
      <c r="A25" s="46" t="inlineStr">
        <is>
          <t>GRA-A1-009</t>
        </is>
      </c>
      <c r="B25" s="56" t="inlineStr">
        <is>
          <t>Regola ed esercizi</t>
        </is>
      </c>
      <c r="C25" s="56" t="inlineStr">
        <is>
          <t>There is e there are</t>
        </is>
      </c>
      <c r="D25" s="49" t="inlineStr">
        <is>
          <t>A1</t>
        </is>
      </c>
      <c r="E25" s="55" t="inlineStr">
        <is>
          <t>Media</t>
        </is>
      </c>
      <c r="F25" s="46" t="n">
        <v>12</v>
      </c>
      <c r="G25" s="46" t="n">
        <v>12</v>
      </c>
    </row>
    <row r="26" ht="27.75" customHeight="1" s="40">
      <c r="A26" s="46" t="inlineStr">
        <is>
          <t>GRA-A1-010</t>
        </is>
      </c>
      <c r="B26" s="56" t="inlineStr">
        <is>
          <t>Regola ed esercizi</t>
        </is>
      </c>
      <c r="C26" s="56" t="inlineStr">
        <is>
          <t>Have got per possesso e caratteristiche</t>
        </is>
      </c>
      <c r="D26" s="49" t="inlineStr">
        <is>
          <t>A1</t>
        </is>
      </c>
      <c r="E26" s="55" t="inlineStr">
        <is>
          <t>Media</t>
        </is>
      </c>
      <c r="F26" s="46" t="n">
        <v>12</v>
      </c>
      <c r="G26" s="46" t="n">
        <v>14</v>
      </c>
    </row>
    <row r="27" ht="27.75" customHeight="1" s="40">
      <c r="A27" s="46" t="inlineStr">
        <is>
          <t>GRA-A1-011</t>
        </is>
      </c>
      <c r="B27" s="56" t="inlineStr">
        <is>
          <t>Regola ed esercizi</t>
        </is>
      </c>
      <c r="C27" s="56" t="inlineStr">
        <is>
          <t>Present simple: forma affermativa</t>
        </is>
      </c>
      <c r="D27" s="49" t="inlineStr">
        <is>
          <t>A1</t>
        </is>
      </c>
      <c r="E27" s="55" t="inlineStr">
        <is>
          <t>Media</t>
        </is>
      </c>
      <c r="F27" s="46" t="n">
        <v>12</v>
      </c>
      <c r="G27" s="46" t="n">
        <v>16</v>
      </c>
    </row>
    <row r="28" ht="27.75" customHeight="1" s="40">
      <c r="A28" s="46" t="inlineStr">
        <is>
          <t>GRA-A1-012</t>
        </is>
      </c>
      <c r="B28" s="56" t="inlineStr">
        <is>
          <t>Regola ed esercizi</t>
        </is>
      </c>
      <c r="C28" s="56" t="inlineStr">
        <is>
          <t>Present simple: negazioni e domande con do/does</t>
        </is>
      </c>
      <c r="D28" s="49" t="inlineStr">
        <is>
          <t>A1</t>
        </is>
      </c>
      <c r="E28" s="55" t="inlineStr">
        <is>
          <t>Media</t>
        </is>
      </c>
      <c r="F28" s="46" t="n">
        <v>12</v>
      </c>
      <c r="G28" s="46" t="n">
        <v>17</v>
      </c>
    </row>
    <row r="29" ht="27.75" customHeight="1" s="40">
      <c r="A29" s="46" t="inlineStr">
        <is>
          <t>GRA-A1-013</t>
        </is>
      </c>
      <c r="B29" s="56" t="inlineStr">
        <is>
          <t>Regola ed esercizi</t>
        </is>
      </c>
      <c r="C29" s="56" t="inlineStr">
        <is>
          <t>Gli avverbi di frequenza e la loro posizione</t>
        </is>
      </c>
      <c r="D29" s="49" t="inlineStr">
        <is>
          <t>A1</t>
        </is>
      </c>
      <c r="E29" s="49" t="inlineStr">
        <is>
          <t>Bassa</t>
        </is>
      </c>
      <c r="F29" s="46" t="n">
        <v>10</v>
      </c>
      <c r="G29" s="46" t="n">
        <v>18</v>
      </c>
    </row>
    <row r="30" ht="27.75" customHeight="1" s="40">
      <c r="A30" s="46" t="inlineStr">
        <is>
          <t>GRA-A1-014</t>
        </is>
      </c>
      <c r="B30" s="56" t="inlineStr">
        <is>
          <t>Regola ed esercizi</t>
        </is>
      </c>
      <c r="C30" s="56" t="inlineStr">
        <is>
          <t>Le question words: who, what, where, when, why, how</t>
        </is>
      </c>
      <c r="D30" s="49" t="inlineStr">
        <is>
          <t>A1</t>
        </is>
      </c>
      <c r="E30" s="55" t="inlineStr">
        <is>
          <t>Media</t>
        </is>
      </c>
      <c r="F30" s="46" t="n">
        <v>12</v>
      </c>
      <c r="G30" s="46" t="n">
        <v>20</v>
      </c>
    </row>
    <row r="31" ht="27.75" customHeight="1" s="40">
      <c r="A31" s="46" t="inlineStr">
        <is>
          <t>GRA-A1-015</t>
        </is>
      </c>
      <c r="B31" s="56" t="inlineStr">
        <is>
          <t>Regola ed esercizi</t>
        </is>
      </c>
      <c r="C31" s="56" t="inlineStr">
        <is>
          <t>Can e can't: abilità, permesso e richieste</t>
        </is>
      </c>
      <c r="D31" s="49" t="inlineStr">
        <is>
          <t>A1</t>
        </is>
      </c>
      <c r="E31" s="49" t="inlineStr">
        <is>
          <t>Bassa</t>
        </is>
      </c>
      <c r="F31" s="46" t="n">
        <v>10</v>
      </c>
      <c r="G31" s="46" t="n">
        <v>21</v>
      </c>
    </row>
    <row r="32" ht="27.75" customHeight="1" s="40">
      <c r="A32" s="46" t="inlineStr">
        <is>
          <t>GRA-A1-016</t>
        </is>
      </c>
      <c r="B32" s="56" t="inlineStr">
        <is>
          <t>Regola ed esercizi</t>
        </is>
      </c>
      <c r="C32" s="56" t="inlineStr">
        <is>
          <t>Le preposizioni di tempo e luogo: in, on, at</t>
        </is>
      </c>
      <c r="D32" s="49" t="inlineStr">
        <is>
          <t>A1</t>
        </is>
      </c>
      <c r="E32" s="55" t="inlineStr">
        <is>
          <t>Media</t>
        </is>
      </c>
      <c r="F32" s="46" t="n">
        <v>15</v>
      </c>
      <c r="G32" s="46" t="n">
        <v>25</v>
      </c>
    </row>
    <row r="33" ht="27.75" customHeight="1" s="40">
      <c r="A33" s="46" t="inlineStr">
        <is>
          <t>GRA-A1-017</t>
        </is>
      </c>
      <c r="B33" s="56" t="inlineStr">
        <is>
          <t>Regola ed esercizi</t>
        </is>
      </c>
      <c r="C33" s="56" t="inlineStr">
        <is>
          <t>Present continuous: azioni in corso</t>
        </is>
      </c>
      <c r="D33" s="49" t="inlineStr">
        <is>
          <t>A1</t>
        </is>
      </c>
      <c r="E33" s="55" t="inlineStr">
        <is>
          <t>Media</t>
        </is>
      </c>
      <c r="F33" s="46" t="n">
        <v>12</v>
      </c>
      <c r="G33" s="46" t="n">
        <v>27</v>
      </c>
    </row>
    <row r="34" ht="27.75" customHeight="1" s="40">
      <c r="A34" s="46" t="inlineStr">
        <is>
          <t>GRA-A1-018</t>
        </is>
      </c>
      <c r="B34" s="56" t="inlineStr">
        <is>
          <t>Regola ed esercizi</t>
        </is>
      </c>
      <c r="C34" s="56" t="inlineStr">
        <is>
          <t>Present simple o present continuous?</t>
        </is>
      </c>
      <c r="D34" s="49" t="inlineStr">
        <is>
          <t>A1</t>
        </is>
      </c>
      <c r="E34" s="57" t="inlineStr">
        <is>
          <t>Alta</t>
        </is>
      </c>
      <c r="F34" s="46" t="n">
        <v>15</v>
      </c>
      <c r="G34" s="46" t="n">
        <v>28</v>
      </c>
    </row>
    <row r="35" ht="27.75" customHeight="1" s="40">
      <c r="A35" s="46" t="inlineStr">
        <is>
          <t>GRA-A2-001</t>
        </is>
      </c>
      <c r="B35" s="56" t="inlineStr">
        <is>
          <t>Regola ed esercizi</t>
        </is>
      </c>
      <c r="C35" s="56" t="inlineStr">
        <is>
          <t>Past simple del verbo to be</t>
        </is>
      </c>
      <c r="D35" s="58" t="inlineStr">
        <is>
          <t>A2</t>
        </is>
      </c>
      <c r="E35" s="49" t="inlineStr">
        <is>
          <t>Bassa</t>
        </is>
      </c>
      <c r="F35" s="46" t="n">
        <v>12</v>
      </c>
      <c r="G35" s="46" t="n">
        <v>32</v>
      </c>
    </row>
    <row r="36" ht="27.75" customHeight="1" s="40">
      <c r="A36" s="46" t="inlineStr">
        <is>
          <t>GRA-A2-002</t>
        </is>
      </c>
      <c r="B36" s="56" t="inlineStr">
        <is>
          <t>Regola ed esercizi</t>
        </is>
      </c>
      <c r="C36" s="56" t="inlineStr">
        <is>
          <t>Past simple: verbi regolari</t>
        </is>
      </c>
      <c r="D36" s="58" t="inlineStr">
        <is>
          <t>A2</t>
        </is>
      </c>
      <c r="E36" s="55" t="inlineStr">
        <is>
          <t>Media</t>
        </is>
      </c>
      <c r="F36" s="46" t="n">
        <v>12</v>
      </c>
      <c r="G36" s="46" t="n">
        <v>33</v>
      </c>
    </row>
    <row r="37" ht="27.75" customHeight="1" s="40">
      <c r="A37" s="46" t="inlineStr">
        <is>
          <t>GRA-A2-003</t>
        </is>
      </c>
      <c r="B37" s="56" t="inlineStr">
        <is>
          <t>Regola ed esercizi</t>
        </is>
      </c>
      <c r="C37" s="56" t="inlineStr">
        <is>
          <t>Past simple: verbi irregolari</t>
        </is>
      </c>
      <c r="D37" s="58" t="inlineStr">
        <is>
          <t>A2</t>
        </is>
      </c>
      <c r="E37" s="55" t="inlineStr">
        <is>
          <t>Media</t>
        </is>
      </c>
      <c r="F37" s="46" t="n">
        <v>15</v>
      </c>
      <c r="G37" s="46" t="n">
        <v>35</v>
      </c>
    </row>
    <row r="38" ht="27.75" customHeight="1" s="40">
      <c r="A38" s="46" t="inlineStr">
        <is>
          <t>GRA-A2-004</t>
        </is>
      </c>
      <c r="B38" s="56" t="inlineStr">
        <is>
          <t>Regola ed esercizi</t>
        </is>
      </c>
      <c r="C38" s="56" t="inlineStr">
        <is>
          <t>Past simple: negazioni e domande con did</t>
        </is>
      </c>
      <c r="D38" s="58" t="inlineStr">
        <is>
          <t>A2</t>
        </is>
      </c>
      <c r="E38" s="55" t="inlineStr">
        <is>
          <t>Media</t>
        </is>
      </c>
      <c r="F38" s="46" t="n">
        <v>12</v>
      </c>
      <c r="G38" s="46" t="n">
        <v>36</v>
      </c>
    </row>
    <row r="39" ht="27.75" customHeight="1" s="40">
      <c r="A39" s="46" t="inlineStr">
        <is>
          <t>GRA-A2-005</t>
        </is>
      </c>
      <c r="B39" s="56" t="inlineStr">
        <is>
          <t>Regola ed esercizi</t>
        </is>
      </c>
      <c r="C39" s="56" t="inlineStr">
        <is>
          <t>Past continuous e confronto con il past simple</t>
        </is>
      </c>
      <c r="D39" s="58" t="inlineStr">
        <is>
          <t>A2</t>
        </is>
      </c>
      <c r="E39" s="55" t="inlineStr">
        <is>
          <t>Media</t>
        </is>
      </c>
      <c r="F39" s="46" t="n">
        <v>15</v>
      </c>
      <c r="G39" s="46" t="n">
        <v>38</v>
      </c>
    </row>
    <row r="40" ht="27.75" customHeight="1" s="40">
      <c r="A40" s="46" t="inlineStr">
        <is>
          <t>GRA-A2-006</t>
        </is>
      </c>
      <c r="B40" s="56" t="inlineStr">
        <is>
          <t>Regola ed esercizi</t>
        </is>
      </c>
      <c r="C40" s="56" t="inlineStr">
        <is>
          <t>Il futuro: will, going to e present continuous</t>
        </is>
      </c>
      <c r="D40" s="58" t="inlineStr">
        <is>
          <t>A2</t>
        </is>
      </c>
      <c r="E40" s="57" t="inlineStr">
        <is>
          <t>Alta</t>
        </is>
      </c>
      <c r="F40" s="46" t="n">
        <v>15</v>
      </c>
      <c r="G40" s="46" t="n">
        <v>42</v>
      </c>
    </row>
    <row r="41" ht="27.75" customHeight="1" s="40">
      <c r="A41" s="46" t="inlineStr">
        <is>
          <t>GRA-A2-007</t>
        </is>
      </c>
      <c r="B41" s="56" t="inlineStr">
        <is>
          <t>Regola ed esercizi</t>
        </is>
      </c>
      <c r="C41" s="56" t="inlineStr">
        <is>
          <t>Present perfect: introduzione</t>
        </is>
      </c>
      <c r="D41" s="58" t="inlineStr">
        <is>
          <t>A2</t>
        </is>
      </c>
      <c r="E41" s="57" t="inlineStr">
        <is>
          <t>Alta</t>
        </is>
      </c>
      <c r="F41" s="46" t="n">
        <v>15</v>
      </c>
      <c r="G41" s="46" t="n">
        <v>44</v>
      </c>
    </row>
    <row r="42" ht="27.75" customHeight="1" s="40">
      <c r="A42" s="46" t="inlineStr">
        <is>
          <t>GRA-A2-008</t>
        </is>
      </c>
      <c r="B42" s="56" t="inlineStr">
        <is>
          <t>Regola ed esercizi</t>
        </is>
      </c>
      <c r="C42" s="56" t="inlineStr">
        <is>
          <t>Comparativi e superlativi</t>
        </is>
      </c>
      <c r="D42" s="58" t="inlineStr">
        <is>
          <t>A2</t>
        </is>
      </c>
      <c r="E42" s="55" t="inlineStr">
        <is>
          <t>Media</t>
        </is>
      </c>
      <c r="F42" s="46" t="n">
        <v>12</v>
      </c>
      <c r="G42" s="46" t="n">
        <v>45</v>
      </c>
    </row>
    <row r="43" ht="27.75" customHeight="1" s="40">
      <c r="A43" s="46" t="inlineStr">
        <is>
          <t>GRA-A2-009</t>
        </is>
      </c>
      <c r="B43" s="56" t="inlineStr">
        <is>
          <t>Regola ed esercizi</t>
        </is>
      </c>
      <c r="C43" s="56" t="inlineStr">
        <is>
          <t>Numerabili e non numerabili: much, many, a lot of</t>
        </is>
      </c>
      <c r="D43" s="58" t="inlineStr">
        <is>
          <t>A2</t>
        </is>
      </c>
      <c r="E43" s="55" t="inlineStr">
        <is>
          <t>Media</t>
        </is>
      </c>
      <c r="F43" s="46" t="n">
        <v>12</v>
      </c>
      <c r="G43" s="46" t="n">
        <v>47</v>
      </c>
    </row>
    <row r="44" ht="27.75" customHeight="1" s="40">
      <c r="A44" s="46" t="inlineStr">
        <is>
          <t>GRA-A2-010</t>
        </is>
      </c>
      <c r="B44" s="56" t="inlineStr">
        <is>
          <t>Regola ed esercizi</t>
        </is>
      </c>
      <c r="C44" s="56" t="inlineStr">
        <is>
          <t>I modali dell'obbligo: must, have to e should</t>
        </is>
      </c>
      <c r="D44" s="58" t="inlineStr">
        <is>
          <t>A2</t>
        </is>
      </c>
      <c r="E44" s="57" t="inlineStr">
        <is>
          <t>Alta</t>
        </is>
      </c>
      <c r="F44" s="46" t="n">
        <v>15</v>
      </c>
      <c r="G44" s="46" t="n">
        <v>50</v>
      </c>
    </row>
    <row r="45" ht="27.75" customHeight="1" s="40">
      <c r="A45" s="46" t="inlineStr">
        <is>
          <t>GRA-A2-011</t>
        </is>
      </c>
      <c r="B45" s="56" t="inlineStr">
        <is>
          <t>Regola ed esercizi</t>
        </is>
      </c>
      <c r="C45" s="56" t="inlineStr">
        <is>
          <t>Zero e first conditional</t>
        </is>
      </c>
      <c r="D45" s="58" t="inlineStr">
        <is>
          <t>A2</t>
        </is>
      </c>
      <c r="E45" s="57" t="inlineStr">
        <is>
          <t>Alta</t>
        </is>
      </c>
      <c r="F45" s="46" t="n">
        <v>15</v>
      </c>
      <c r="G45" s="46" t="n">
        <v>52</v>
      </c>
    </row>
    <row r="46" ht="27.75" customHeight="1" s="40">
      <c r="A46" s="46" t="inlineStr">
        <is>
          <t>GRA-A2-012</t>
        </is>
      </c>
      <c r="B46" s="56" t="inlineStr">
        <is>
          <t>Regola ed esercizi</t>
        </is>
      </c>
      <c r="C46" s="56" t="inlineStr">
        <is>
          <t>Verbi + preposizioni: listen to, wait for, depend on</t>
        </is>
      </c>
      <c r="D46" s="58" t="inlineStr">
        <is>
          <t>A2</t>
        </is>
      </c>
      <c r="E46" s="55" t="inlineStr">
        <is>
          <t>Media</t>
        </is>
      </c>
      <c r="F46" s="46" t="n">
        <v>12</v>
      </c>
      <c r="G46" s="46" t="n">
        <v>54</v>
      </c>
    </row>
    <row r="47" ht="27.75" customHeight="1" s="40">
      <c r="A47" s="46" t="inlineStr">
        <is>
          <t>GRA-B1-001</t>
        </is>
      </c>
      <c r="B47" s="56" t="inlineStr">
        <is>
          <t>Regola ed esercizi</t>
        </is>
      </c>
      <c r="C47" s="56" t="inlineStr">
        <is>
          <t>Present perfect e past simple a confronto</t>
        </is>
      </c>
      <c r="D47" s="59" t="inlineStr">
        <is>
          <t>B1</t>
        </is>
      </c>
      <c r="E47" s="57" t="inlineStr">
        <is>
          <t>Alta</t>
        </is>
      </c>
      <c r="F47" s="46" t="n">
        <v>18</v>
      </c>
      <c r="G47" s="46" t="n">
        <v>57</v>
      </c>
    </row>
    <row r="48" ht="27.75" customHeight="1" s="40">
      <c r="A48" s="46" t="inlineStr">
        <is>
          <t>GRA-B1-002</t>
        </is>
      </c>
      <c r="B48" s="56" t="inlineStr">
        <is>
          <t>Regola ed esercizi</t>
        </is>
      </c>
      <c r="C48" s="56" t="inlineStr">
        <is>
          <t>Present perfect continuous</t>
        </is>
      </c>
      <c r="D48" s="59" t="inlineStr">
        <is>
          <t>B1</t>
        </is>
      </c>
      <c r="E48" s="57" t="inlineStr">
        <is>
          <t>Alta</t>
        </is>
      </c>
      <c r="F48" s="46" t="n">
        <v>15</v>
      </c>
      <c r="G48" s="46" t="n">
        <v>58</v>
      </c>
    </row>
    <row r="49" ht="27.75" customHeight="1" s="40">
      <c r="A49" s="46" t="inlineStr">
        <is>
          <t>GRA-B1-003</t>
        </is>
      </c>
      <c r="B49" s="56" t="inlineStr">
        <is>
          <t>Regola ed esercizi</t>
        </is>
      </c>
      <c r="C49" s="56" t="inlineStr">
        <is>
          <t>Past perfect</t>
        </is>
      </c>
      <c r="D49" s="59" t="inlineStr">
        <is>
          <t>B1</t>
        </is>
      </c>
      <c r="E49" s="55" t="inlineStr">
        <is>
          <t>Media</t>
        </is>
      </c>
      <c r="F49" s="46" t="n">
        <v>15</v>
      </c>
      <c r="G49" s="46" t="n">
        <v>59</v>
      </c>
    </row>
    <row r="50" ht="27.75" customHeight="1" s="40">
      <c r="A50" s="46" t="inlineStr">
        <is>
          <t>GRA-B1-004</t>
        </is>
      </c>
      <c r="B50" s="56" t="inlineStr">
        <is>
          <t>Regola ed esercizi</t>
        </is>
      </c>
      <c r="C50" s="56" t="inlineStr">
        <is>
          <t>I tempi narrativi: raccontare una storia</t>
        </is>
      </c>
      <c r="D50" s="59" t="inlineStr">
        <is>
          <t>B1</t>
        </is>
      </c>
      <c r="E50" s="57" t="inlineStr">
        <is>
          <t>Alta</t>
        </is>
      </c>
      <c r="F50" s="46" t="n">
        <v>18</v>
      </c>
      <c r="G50" s="46" t="n">
        <v>60</v>
      </c>
    </row>
    <row r="51" ht="27.75" customHeight="1" s="40">
      <c r="A51" s="46" t="inlineStr">
        <is>
          <t>GRA-B1-005</t>
        </is>
      </c>
      <c r="B51" s="56" t="inlineStr">
        <is>
          <t>Regola ed esercizi</t>
        </is>
      </c>
      <c r="C51" s="56" t="inlineStr">
        <is>
          <t>Used to e would per abitudini passate</t>
        </is>
      </c>
      <c r="D51" s="59" t="inlineStr">
        <is>
          <t>B1</t>
        </is>
      </c>
      <c r="E51" s="55" t="inlineStr">
        <is>
          <t>Media</t>
        </is>
      </c>
      <c r="F51" s="46" t="n">
        <v>12</v>
      </c>
      <c r="G51" s="46" t="n">
        <v>62</v>
      </c>
    </row>
    <row r="52" ht="27.75" customHeight="1" s="40">
      <c r="A52" s="46" t="inlineStr">
        <is>
          <t>GRA-B1-006</t>
        </is>
      </c>
      <c r="B52" s="56" t="inlineStr">
        <is>
          <t>Regola ed esercizi</t>
        </is>
      </c>
      <c r="C52" s="56" t="inlineStr">
        <is>
          <t>Second conditional</t>
        </is>
      </c>
      <c r="D52" s="59" t="inlineStr">
        <is>
          <t>B1</t>
        </is>
      </c>
      <c r="E52" s="55" t="inlineStr">
        <is>
          <t>Media</t>
        </is>
      </c>
      <c r="F52" s="46" t="n">
        <v>15</v>
      </c>
      <c r="G52" s="46" t="n">
        <v>64</v>
      </c>
    </row>
    <row r="53" ht="27.75" customHeight="1" s="40">
      <c r="A53" s="46" t="inlineStr">
        <is>
          <t>GRA-B1-007</t>
        </is>
      </c>
      <c r="B53" s="56" t="inlineStr">
        <is>
          <t>Regola ed esercizi</t>
        </is>
      </c>
      <c r="C53" s="56" t="inlineStr">
        <is>
          <t>La forma passiva</t>
        </is>
      </c>
      <c r="D53" s="59" t="inlineStr">
        <is>
          <t>B1</t>
        </is>
      </c>
      <c r="E53" s="57" t="inlineStr">
        <is>
          <t>Alta</t>
        </is>
      </c>
      <c r="F53" s="46" t="n">
        <v>18</v>
      </c>
      <c r="G53" s="46" t="n">
        <v>65</v>
      </c>
    </row>
    <row r="54" ht="27.75" customHeight="1" s="40">
      <c r="A54" s="46" t="inlineStr">
        <is>
          <t>GRA-B1-008</t>
        </is>
      </c>
      <c r="B54" s="56" t="inlineStr">
        <is>
          <t>Regola ed esercizi</t>
        </is>
      </c>
      <c r="C54" s="56" t="inlineStr">
        <is>
          <t>Il discorso indiretto</t>
        </is>
      </c>
      <c r="D54" s="59" t="inlineStr">
        <is>
          <t>B1</t>
        </is>
      </c>
      <c r="E54" s="57" t="inlineStr">
        <is>
          <t>Alta</t>
        </is>
      </c>
      <c r="F54" s="46" t="n">
        <v>18</v>
      </c>
      <c r="G54" s="46" t="n">
        <v>68</v>
      </c>
    </row>
    <row r="55" ht="27.75" customHeight="1" s="40">
      <c r="A55" s="46" t="inlineStr">
        <is>
          <t>GRA-B1-009</t>
        </is>
      </c>
      <c r="B55" s="56" t="inlineStr">
        <is>
          <t>Regola ed esercizi</t>
        </is>
      </c>
      <c r="C55" s="56" t="inlineStr">
        <is>
          <t>Le frasi relative: who, which, that</t>
        </is>
      </c>
      <c r="D55" s="59" t="inlineStr">
        <is>
          <t>B1</t>
        </is>
      </c>
      <c r="E55" s="55" t="inlineStr">
        <is>
          <t>Media</t>
        </is>
      </c>
      <c r="F55" s="46" t="n">
        <v>15</v>
      </c>
      <c r="G55" s="46" t="n">
        <v>69</v>
      </c>
    </row>
    <row r="56" ht="27.75" customHeight="1" s="40">
      <c r="A56" s="46" t="inlineStr">
        <is>
          <t>GRA-B1-010</t>
        </is>
      </c>
      <c r="B56" s="56" t="inlineStr">
        <is>
          <t>Regola ed esercizi</t>
        </is>
      </c>
      <c r="C56" s="56" t="inlineStr">
        <is>
          <t>Gerundio o infinito dopo i verbi</t>
        </is>
      </c>
      <c r="D56" s="59" t="inlineStr">
        <is>
          <t>B1</t>
        </is>
      </c>
      <c r="E56" s="57" t="inlineStr">
        <is>
          <t>Alta</t>
        </is>
      </c>
      <c r="F56" s="46" t="n">
        <v>15</v>
      </c>
      <c r="G56" s="46" t="n">
        <v>70</v>
      </c>
    </row>
    <row r="57" ht="27.75" customHeight="1" s="40">
      <c r="A57" s="46" t="inlineStr">
        <is>
          <t>GRA-B1-011</t>
        </is>
      </c>
      <c r="B57" s="56" t="inlineStr">
        <is>
          <t>Regola ed esercizi</t>
        </is>
      </c>
      <c r="C57" s="56" t="inlineStr">
        <is>
          <t>Question tags e domande indirette</t>
        </is>
      </c>
      <c r="D57" s="59" t="inlineStr">
        <is>
          <t>B1</t>
        </is>
      </c>
      <c r="E57" s="57" t="inlineStr">
        <is>
          <t>Alta</t>
        </is>
      </c>
      <c r="F57" s="46" t="n">
        <v>15</v>
      </c>
      <c r="G57" s="46" t="n">
        <v>74</v>
      </c>
    </row>
    <row r="58" ht="27.75" customHeight="1" s="40">
      <c r="A58" s="46" t="inlineStr">
        <is>
          <t>GRA-B1-012</t>
        </is>
      </c>
      <c r="B58" s="56" t="inlineStr">
        <is>
          <t>Regola ed esercizi</t>
        </is>
      </c>
      <c r="C58" s="56" t="inlineStr">
        <is>
          <t>I modali della deduzione: must, might, can't</t>
        </is>
      </c>
      <c r="D58" s="59" t="inlineStr">
        <is>
          <t>B1</t>
        </is>
      </c>
      <c r="E58" s="55" t="inlineStr">
        <is>
          <t>Media</t>
        </is>
      </c>
      <c r="F58" s="46" t="n">
        <v>12</v>
      </c>
      <c r="G58" s="46" t="n">
        <v>75</v>
      </c>
    </row>
    <row r="59" ht="27.75" customHeight="1" s="40">
      <c r="A59" s="46" t="inlineStr">
        <is>
          <t>GRA-B1-013</t>
        </is>
      </c>
      <c r="B59" s="56" t="inlineStr">
        <is>
          <t>Regola ed esercizi</t>
        </is>
      </c>
      <c r="C59" s="56" t="inlineStr">
        <is>
          <t>Gli articoli: usi avanzati e omissione</t>
        </is>
      </c>
      <c r="D59" s="59" t="inlineStr">
        <is>
          <t>B1</t>
        </is>
      </c>
      <c r="E59" s="57" t="inlineStr">
        <is>
          <t>Alta</t>
        </is>
      </c>
      <c r="F59" s="46" t="n">
        <v>15</v>
      </c>
      <c r="G59" s="46" t="n">
        <v>77</v>
      </c>
    </row>
    <row r="60" ht="27.75" customHeight="1" s="40">
      <c r="A60" s="46" t="inlineStr">
        <is>
          <t>GRA-B2-001</t>
        </is>
      </c>
      <c r="B60" s="56" t="inlineStr">
        <is>
          <t>Regola ed esercizi</t>
        </is>
      </c>
      <c r="C60" s="56" t="inlineStr">
        <is>
          <t>Future perfect e future continuous</t>
        </is>
      </c>
      <c r="D60" s="60" t="inlineStr">
        <is>
          <t>B2</t>
        </is>
      </c>
      <c r="E60" s="57" t="inlineStr">
        <is>
          <t>Alta</t>
        </is>
      </c>
      <c r="F60" s="46" t="n">
        <v>15</v>
      </c>
      <c r="G60" s="46" t="n">
        <v>79</v>
      </c>
    </row>
    <row r="61" ht="27.75" customHeight="1" s="40">
      <c r="A61" s="46" t="inlineStr">
        <is>
          <t>GRA-B2-002</t>
        </is>
      </c>
      <c r="B61" s="56" t="inlineStr">
        <is>
          <t>Regola ed esercizi</t>
        </is>
      </c>
      <c r="C61" s="56" t="inlineStr">
        <is>
          <t>Third conditional</t>
        </is>
      </c>
      <c r="D61" s="60" t="inlineStr">
        <is>
          <t>B2</t>
        </is>
      </c>
      <c r="E61" s="57" t="inlineStr">
        <is>
          <t>Alta</t>
        </is>
      </c>
      <c r="F61" s="46" t="n">
        <v>15</v>
      </c>
      <c r="G61" s="46" t="n">
        <v>80</v>
      </c>
    </row>
    <row r="62" ht="27.75" customHeight="1" s="40">
      <c r="A62" s="46" t="inlineStr">
        <is>
          <t>GRA-B2-003</t>
        </is>
      </c>
      <c r="B62" s="56" t="inlineStr">
        <is>
          <t>Regola ed esercizi</t>
        </is>
      </c>
      <c r="C62" s="56" t="inlineStr">
        <is>
          <t>Mixed conditionals</t>
        </is>
      </c>
      <c r="D62" s="60" t="inlineStr">
        <is>
          <t>B2</t>
        </is>
      </c>
      <c r="E62" s="57" t="inlineStr">
        <is>
          <t>Alta</t>
        </is>
      </c>
      <c r="F62" s="46" t="n">
        <v>15</v>
      </c>
      <c r="G62" s="46" t="n">
        <v>81</v>
      </c>
    </row>
    <row r="63" ht="27.75" customHeight="1" s="40">
      <c r="A63" s="46" t="inlineStr">
        <is>
          <t>GRA-B2-004</t>
        </is>
      </c>
      <c r="B63" s="56" t="inlineStr">
        <is>
          <t>Regola ed esercizi</t>
        </is>
      </c>
      <c r="C63" s="56" t="inlineStr">
        <is>
          <t>Wish e if only</t>
        </is>
      </c>
      <c r="D63" s="60" t="inlineStr">
        <is>
          <t>B2</t>
        </is>
      </c>
      <c r="E63" s="57" t="inlineStr">
        <is>
          <t>Alta</t>
        </is>
      </c>
      <c r="F63" s="46" t="n">
        <v>12</v>
      </c>
      <c r="G63" s="46" t="n">
        <v>82</v>
      </c>
    </row>
    <row r="64" ht="27.75" customHeight="1" s="40">
      <c r="A64" s="46" t="inlineStr">
        <is>
          <t>GRA-B2-005</t>
        </is>
      </c>
      <c r="B64" s="56" t="inlineStr">
        <is>
          <t>Regola ed esercizi</t>
        </is>
      </c>
      <c r="C64" s="56" t="inlineStr">
        <is>
          <t>I modali riferiti al passato</t>
        </is>
      </c>
      <c r="D64" s="60" t="inlineStr">
        <is>
          <t>B2</t>
        </is>
      </c>
      <c r="E64" s="57" t="inlineStr">
        <is>
          <t>Alta</t>
        </is>
      </c>
      <c r="F64" s="46" t="n">
        <v>15</v>
      </c>
      <c r="G64" s="46" t="n">
        <v>84</v>
      </c>
    </row>
    <row r="65" ht="27.75" customHeight="1" s="40">
      <c r="A65" s="46" t="inlineStr">
        <is>
          <t>GRA-B2-006</t>
        </is>
      </c>
      <c r="B65" s="56" t="inlineStr">
        <is>
          <t>Regola ed esercizi</t>
        </is>
      </c>
      <c r="C65" s="56" t="inlineStr">
        <is>
          <t>La forma passiva avanzata</t>
        </is>
      </c>
      <c r="D65" s="60" t="inlineStr">
        <is>
          <t>B2</t>
        </is>
      </c>
      <c r="E65" s="57" t="inlineStr">
        <is>
          <t>Alta</t>
        </is>
      </c>
      <c r="F65" s="46" t="n">
        <v>15</v>
      </c>
      <c r="G65" s="46" t="n">
        <v>86</v>
      </c>
    </row>
    <row r="66" ht="27.75" customHeight="1" s="40">
      <c r="A66" s="46" t="inlineStr">
        <is>
          <t>GRA-B2-007</t>
        </is>
      </c>
      <c r="B66" s="56" t="inlineStr">
        <is>
          <t>Regola ed esercizi</t>
        </is>
      </c>
      <c r="C66" s="56" t="inlineStr">
        <is>
          <t>Reporting verbs</t>
        </is>
      </c>
      <c r="D66" s="60" t="inlineStr">
        <is>
          <t>B2</t>
        </is>
      </c>
      <c r="E66" s="57" t="inlineStr">
        <is>
          <t>Alta</t>
        </is>
      </c>
      <c r="F66" s="46" t="n">
        <v>15</v>
      </c>
      <c r="G66" s="46" t="n">
        <v>87</v>
      </c>
    </row>
    <row r="67" ht="27.75" customHeight="1" s="40">
      <c r="A67" s="46" t="inlineStr">
        <is>
          <t>GRA-B2-008</t>
        </is>
      </c>
      <c r="B67" s="56" t="inlineStr">
        <is>
          <t>Regola ed esercizi</t>
        </is>
      </c>
      <c r="C67" s="56" t="inlineStr">
        <is>
          <t>Have e get something done</t>
        </is>
      </c>
      <c r="D67" s="60" t="inlineStr">
        <is>
          <t>B2</t>
        </is>
      </c>
      <c r="E67" s="55" t="inlineStr">
        <is>
          <t>Media</t>
        </is>
      </c>
      <c r="F67" s="46" t="n">
        <v>12</v>
      </c>
      <c r="G67" s="46" t="n">
        <v>90</v>
      </c>
    </row>
    <row r="68" ht="27.75" customHeight="1" s="40">
      <c r="A68" s="46" t="inlineStr">
        <is>
          <t>GRA-C1-001</t>
        </is>
      </c>
      <c r="B68" s="56" t="inlineStr">
        <is>
          <t>Regola ed esercizi</t>
        </is>
      </c>
      <c r="C68" s="56" t="inlineStr">
        <is>
          <t>L'inversione dopo avverbi negativi</t>
        </is>
      </c>
      <c r="D68" s="61" t="inlineStr">
        <is>
          <t>C1</t>
        </is>
      </c>
      <c r="E68" s="57" t="inlineStr">
        <is>
          <t>Alta</t>
        </is>
      </c>
      <c r="F68" s="46" t="n">
        <v>15</v>
      </c>
      <c r="G68" s="46" t="n">
        <v>94</v>
      </c>
    </row>
    <row r="69" ht="27.75" customHeight="1" s="40">
      <c r="A69" s="46" t="inlineStr">
        <is>
          <t>GRA-C1-002</t>
        </is>
      </c>
      <c r="B69" s="56" t="inlineStr">
        <is>
          <t>Regola ed esercizi</t>
        </is>
      </c>
      <c r="C69" s="56" t="inlineStr">
        <is>
          <t>Cleft sentences e strutture enfatiche</t>
        </is>
      </c>
      <c r="D69" s="61" t="inlineStr">
        <is>
          <t>C1</t>
        </is>
      </c>
      <c r="E69" s="57" t="inlineStr">
        <is>
          <t>Alta</t>
        </is>
      </c>
      <c r="F69" s="46" t="n">
        <v>15</v>
      </c>
      <c r="G69" s="46" t="n">
        <v>95</v>
      </c>
    </row>
    <row r="70" ht="27.75" customHeight="1" s="40">
      <c r="A70" s="46" t="inlineStr">
        <is>
          <t>GRA-C1-003</t>
        </is>
      </c>
      <c r="B70" s="56" t="inlineStr">
        <is>
          <t>Regola ed esercizi</t>
        </is>
      </c>
      <c r="C70" s="56" t="inlineStr">
        <is>
          <t>Participle clauses</t>
        </is>
      </c>
      <c r="D70" s="61" t="inlineStr">
        <is>
          <t>C1</t>
        </is>
      </c>
      <c r="E70" s="57" t="inlineStr">
        <is>
          <t>Alta</t>
        </is>
      </c>
      <c r="F70" s="46" t="n">
        <v>15</v>
      </c>
      <c r="G70" s="46" t="n">
        <v>97</v>
      </c>
    </row>
    <row r="71" ht="27.75" customHeight="1" s="40">
      <c r="A71" s="46" t="inlineStr">
        <is>
          <t>GRA-C1-004</t>
        </is>
      </c>
      <c r="B71" s="56" t="inlineStr">
        <is>
          <t>Regola ed esercizi</t>
        </is>
      </c>
      <c r="C71" s="56" t="inlineStr">
        <is>
          <t>Reduced relative clauses</t>
        </is>
      </c>
      <c r="D71" s="61" t="inlineStr">
        <is>
          <t>C1</t>
        </is>
      </c>
      <c r="E71" s="57" t="inlineStr">
        <is>
          <t>Alta</t>
        </is>
      </c>
      <c r="F71" s="46" t="n">
        <v>12</v>
      </c>
      <c r="G71" s="46" t="n">
        <v>98</v>
      </c>
    </row>
    <row r="72" ht="27.75" customHeight="1" s="40">
      <c r="A72" s="46" t="inlineStr">
        <is>
          <t>GRA-C1-005</t>
        </is>
      </c>
      <c r="B72" s="56" t="inlineStr">
        <is>
          <t>Regola ed esercizi</t>
        </is>
      </c>
      <c r="C72" s="56" t="inlineStr">
        <is>
          <t>Ellissi e substitution</t>
        </is>
      </c>
      <c r="D72" s="61" t="inlineStr">
        <is>
          <t>C1</t>
        </is>
      </c>
      <c r="E72" s="57" t="inlineStr">
        <is>
          <t>Alta</t>
        </is>
      </c>
      <c r="F72" s="46" t="n">
        <v>12</v>
      </c>
      <c r="G72" s="46" t="n">
        <v>99</v>
      </c>
    </row>
    <row r="73" ht="27.75" customHeight="1" s="40">
      <c r="A73" s="46" t="inlineStr">
        <is>
          <t>GRA-C1-006</t>
        </is>
      </c>
      <c r="B73" s="56" t="inlineStr">
        <is>
          <t>Regola ed esercizi</t>
        </is>
      </c>
      <c r="C73" s="56" t="inlineStr">
        <is>
          <t>Hedging e linguaggio prudente</t>
        </is>
      </c>
      <c r="D73" s="61" t="inlineStr">
        <is>
          <t>C1</t>
        </is>
      </c>
      <c r="E73" s="57" t="inlineStr">
        <is>
          <t>Alta</t>
        </is>
      </c>
      <c r="F73" s="46" t="n">
        <v>15</v>
      </c>
      <c r="G73" s="46" t="n">
        <v>100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6" activeCellId="0" sqref="B6"/>
    </sheetView>
  </sheetViews>
  <sheetFormatPr baseColWidth="8" defaultColWidth="8.66796875" defaultRowHeight="15" zeroHeight="0" outlineLevelRow="0"/>
  <cols>
    <col width="8" customWidth="1" style="39" min="1" max="1"/>
    <col width="30" customWidth="1" style="39" min="2" max="2"/>
    <col width="36" customWidth="1" style="39" min="3" max="3"/>
    <col width="60" customWidth="1" style="39" min="4" max="4"/>
    <col width="26" customWidth="1" style="39" min="5" max="5"/>
  </cols>
  <sheetData>
    <row r="1" ht="18" customHeight="1" s="40">
      <c r="A1" s="41" t="inlineStr">
        <is>
          <t>Template della pagina-lezione — Vocabolario</t>
        </is>
      </c>
    </row>
    <row r="2" ht="181.5" customHeight="1" s="40">
      <c r="A2" s="70" t="inlineStr">
        <is>
          <t>Le parole si imparano in contesto e si fissano con il riutilizzo: mai liste nude di vocaboli.</t>
        </is>
      </c>
    </row>
    <row r="4" ht="15" customHeight="1" s="40">
      <c r="A4" s="44" t="inlineStr">
        <is>
          <t>Ordine</t>
        </is>
      </c>
      <c r="B4" s="44" t="inlineStr">
        <is>
          <t>Sezione della Lezione</t>
        </is>
      </c>
      <c r="C4" s="44" t="inlineStr">
        <is>
          <t>Obiettivo</t>
        </is>
      </c>
      <c r="D4" s="44" t="inlineStr">
        <is>
          <t>Contenuto Previsto</t>
        </is>
      </c>
      <c r="E4" s="44" t="inlineStr">
        <is>
          <t>Formato Web App</t>
        </is>
      </c>
    </row>
    <row r="5" ht="15" customHeight="1" s="40">
      <c r="A5" s="73" t="n">
        <v>1</v>
      </c>
      <c r="B5" s="56" t="inlineStr">
        <is>
          <t>Tema e obiettivo</t>
        </is>
      </c>
      <c r="C5" s="56" t="inlineStr">
        <is>
          <t>Presentare il campo lessicale.</t>
        </is>
      </c>
      <c r="D5" s="56" t="inlineStr">
        <is>
          <t>Situazione reale in cui le parole servono davvero.</t>
        </is>
      </c>
      <c r="E5" s="56" t="inlineStr">
        <is>
          <t>Introduzione visuale</t>
        </is>
      </c>
    </row>
    <row r="6" ht="15" customHeight="1" s="40">
      <c r="A6" s="73" t="n">
        <v>2</v>
      </c>
      <c r="B6" s="56" t="inlineStr">
        <is>
          <t>Parole chiave</t>
        </is>
      </c>
      <c r="C6" s="56" t="inlineStr">
        <is>
          <t>Presentare 12-18 parole nuove.</t>
        </is>
      </c>
      <c r="D6" s="56" t="inlineStr">
        <is>
          <t>Parola + traduzione + immagine dove utile.</t>
        </is>
      </c>
      <c r="E6" s="56" t="inlineStr">
        <is>
          <t>Flashcard</t>
        </is>
      </c>
    </row>
    <row r="7" ht="15" customHeight="1" s="40">
      <c r="A7" s="73" t="n">
        <v>3</v>
      </c>
      <c r="B7" s="56" t="inlineStr">
        <is>
          <t>Espressioni in contesto</t>
        </is>
      </c>
      <c r="C7" s="56" t="inlineStr">
        <is>
          <t>Mostrare le parole in frasi vere.</t>
        </is>
      </c>
      <c r="D7" s="56" t="inlineStr">
        <is>
          <t>Mini-dialoghi o frasi d'esempio con le parole evidenziate.</t>
        </is>
      </c>
      <c r="E7" s="56" t="inlineStr">
        <is>
          <t>Card di contesto</t>
        </is>
      </c>
    </row>
    <row r="8" ht="15" customHeight="1" s="40">
      <c r="A8" s="73" t="n">
        <v>4</v>
      </c>
      <c r="B8" s="56" t="inlineStr">
        <is>
          <t>Falsi amici ed errori tipici</t>
        </is>
      </c>
      <c r="C8" s="56" t="inlineStr">
        <is>
          <t>Prevenire le trappole italiano-inglese.</t>
        </is>
      </c>
      <c r="D8" s="56" t="inlineStr">
        <is>
          <t>Falsi amici del tema, calchi e combinazioni sbagliate frequenti.</t>
        </is>
      </c>
      <c r="E8" s="56" t="inlineStr">
        <is>
          <t>Box confronto ❌/✅</t>
        </is>
      </c>
    </row>
    <row r="9" ht="15" customHeight="1" s="40">
      <c r="A9" s="73" t="n">
        <v>5</v>
      </c>
      <c r="B9" s="56" t="inlineStr">
        <is>
          <t>Esercizio di abbinamento</t>
        </is>
      </c>
      <c r="C9" s="56" t="inlineStr">
        <is>
          <t>Prima fissazione del lessico.</t>
        </is>
      </c>
      <c r="D9" s="56" t="inlineStr">
        <is>
          <t>Abbinamento parola-immagine o parola-definizione.</t>
        </is>
      </c>
      <c r="E9" s="56" t="inlineStr">
        <is>
          <t>Drag &amp; drop</t>
        </is>
      </c>
    </row>
    <row r="10" ht="15" customHeight="1" s="40">
      <c r="A10" s="73" t="n">
        <v>6</v>
      </c>
      <c r="B10" s="56" t="inlineStr">
        <is>
          <t>Quiz finale</t>
        </is>
      </c>
      <c r="C10" s="56" t="inlineStr">
        <is>
          <t>Verificare la memorizzazione.</t>
        </is>
      </c>
      <c r="D10" s="56" t="inlineStr">
        <is>
          <t>Completamento di frasi e scelta della parola giusta nel contesto.</t>
        </is>
      </c>
      <c r="E10" s="56" t="inlineStr">
        <is>
          <t>Quiz interattivo</t>
        </is>
      </c>
    </row>
    <row r="11" ht="15" customHeight="1" s="40">
      <c r="A11" s="73" t="n">
        <v>7</v>
      </c>
      <c r="B11" s="56" t="inlineStr">
        <is>
          <t>Riepilogo e prossima lezione</t>
        </is>
      </c>
      <c r="C11" s="56" t="inlineStr">
        <is>
          <t>Programmare il ripasso.</t>
        </is>
      </c>
      <c r="D11" s="56" t="inlineStr">
        <is>
          <t>Lista scaricabile + inserimento automatico nel ripasso programmato.</t>
        </is>
      </c>
      <c r="E11" s="56" t="inlineStr">
        <is>
          <t>Card + pulsante di navigazione</t>
        </is>
      </c>
    </row>
    <row r="13" ht="15.75" customHeight="1" s="40">
      <c r="A13" s="72" t="inlineStr">
        <is>
          <t>Lezioni dell'area Vocabolario</t>
        </is>
      </c>
    </row>
    <row r="14" ht="42" customHeight="1" s="40">
      <c r="A14" s="44" t="inlineStr">
        <is>
          <t>ID Lezione</t>
        </is>
      </c>
      <c r="B14" s="44" t="inlineStr">
        <is>
          <t>Tipologia</t>
        </is>
      </c>
      <c r="C14" s="44" t="inlineStr">
        <is>
          <t>Nome Lezione</t>
        </is>
      </c>
      <c r="D14" s="44" t="inlineStr">
        <is>
          <t>Livello</t>
        </is>
      </c>
      <c r="E14" s="44" t="inlineStr">
        <is>
          <t>Difficoltà</t>
        </is>
      </c>
      <c r="F14" s="44" t="inlineStr">
        <is>
          <t>Durata (min)</t>
        </is>
      </c>
      <c r="G14" s="44" t="inlineStr">
        <is>
          <t>Ordine nel Percorso</t>
        </is>
      </c>
    </row>
    <row r="15" ht="27.75" customHeight="1" s="40">
      <c r="A15" s="46" t="inlineStr">
        <is>
          <t>VOC-A1-001</t>
        </is>
      </c>
      <c r="B15" s="56" t="inlineStr">
        <is>
          <t>Lessico tematico</t>
        </is>
      </c>
      <c r="C15" s="56" t="inlineStr">
        <is>
          <t>Numeri, giorni, mesi e orari</t>
        </is>
      </c>
      <c r="D15" s="49" t="inlineStr">
        <is>
          <t>A1</t>
        </is>
      </c>
      <c r="E15" s="49" t="inlineStr">
        <is>
          <t>Bassa</t>
        </is>
      </c>
      <c r="F15" s="46" t="n">
        <v>10</v>
      </c>
      <c r="G15" s="46" t="n">
        <v>6</v>
      </c>
    </row>
    <row r="16" ht="27.75" customHeight="1" s="40">
      <c r="A16" s="46" t="inlineStr">
        <is>
          <t>VOC-A1-002</t>
        </is>
      </c>
      <c r="B16" s="56" t="inlineStr">
        <is>
          <t>Lessico tematico</t>
        </is>
      </c>
      <c r="C16" s="56" t="inlineStr">
        <is>
          <t>Famiglia e descrizione delle persone</t>
        </is>
      </c>
      <c r="D16" s="49" t="inlineStr">
        <is>
          <t>A1</t>
        </is>
      </c>
      <c r="E16" s="49" t="inlineStr">
        <is>
          <t>Bassa</t>
        </is>
      </c>
      <c r="F16" s="46" t="n">
        <v>10</v>
      </c>
      <c r="G16" s="46" t="n">
        <v>9</v>
      </c>
    </row>
    <row r="17" ht="27.75" customHeight="1" s="40">
      <c r="A17" s="46" t="inlineStr">
        <is>
          <t>VOC-A1-003</t>
        </is>
      </c>
      <c r="B17" s="56" t="inlineStr">
        <is>
          <t>Lessico tematico</t>
        </is>
      </c>
      <c r="C17" s="56" t="inlineStr">
        <is>
          <t>Casa e oggetti quotidiani</t>
        </is>
      </c>
      <c r="D17" s="49" t="inlineStr">
        <is>
          <t>A1</t>
        </is>
      </c>
      <c r="E17" s="49" t="inlineStr">
        <is>
          <t>Bassa</t>
        </is>
      </c>
      <c r="F17" s="46" t="n">
        <v>10</v>
      </c>
      <c r="G17" s="46" t="n">
        <v>13</v>
      </c>
    </row>
    <row r="18" ht="27.75" customHeight="1" s="40">
      <c r="A18" s="46" t="inlineStr">
        <is>
          <t>VOC-A1-004</t>
        </is>
      </c>
      <c r="B18" s="56" t="inlineStr">
        <is>
          <t>Lessico tematico</t>
        </is>
      </c>
      <c r="C18" s="56" t="inlineStr">
        <is>
          <t>Cibo, bevande e pasti</t>
        </is>
      </c>
      <c r="D18" s="49" t="inlineStr">
        <is>
          <t>A1</t>
        </is>
      </c>
      <c r="E18" s="49" t="inlineStr">
        <is>
          <t>Bassa</t>
        </is>
      </c>
      <c r="F18" s="46" t="n">
        <v>10</v>
      </c>
      <c r="G18" s="46" t="n">
        <v>23</v>
      </c>
    </row>
    <row r="19" ht="27.75" customHeight="1" s="40">
      <c r="A19" s="46" t="inlineStr">
        <is>
          <t>VOC-A1-005</t>
        </is>
      </c>
      <c r="B19" s="56" t="inlineStr">
        <is>
          <t>Lessico tematico</t>
        </is>
      </c>
      <c r="C19" s="56" t="inlineStr">
        <is>
          <t>Falsi amici essenziali</t>
        </is>
      </c>
      <c r="D19" s="49" t="inlineStr">
        <is>
          <t>A1</t>
        </is>
      </c>
      <c r="E19" s="55" t="inlineStr">
        <is>
          <t>Media</t>
        </is>
      </c>
      <c r="F19" s="46" t="n">
        <v>12</v>
      </c>
      <c r="G19" s="46" t="n">
        <v>31</v>
      </c>
    </row>
    <row r="20" ht="27.75" customHeight="1" s="40">
      <c r="A20" s="46" t="inlineStr">
        <is>
          <t>VOC-A2-001</t>
        </is>
      </c>
      <c r="B20" s="56" t="inlineStr">
        <is>
          <t>Lessico tematico</t>
        </is>
      </c>
      <c r="C20" s="56" t="inlineStr">
        <is>
          <t>Viaggi, trasporti e indicazioni stradali</t>
        </is>
      </c>
      <c r="D20" s="58" t="inlineStr">
        <is>
          <t>A2</t>
        </is>
      </c>
      <c r="E20" s="55" t="inlineStr">
        <is>
          <t>Media</t>
        </is>
      </c>
      <c r="F20" s="46" t="n">
        <v>12</v>
      </c>
      <c r="G20" s="46" t="n">
        <v>39</v>
      </c>
    </row>
    <row r="21" ht="27.75" customHeight="1" s="40">
      <c r="A21" s="46" t="inlineStr">
        <is>
          <t>VOC-A2-002</t>
        </is>
      </c>
      <c r="B21" s="56" t="inlineStr">
        <is>
          <t>Lessico tematico</t>
        </is>
      </c>
      <c r="C21" s="56" t="inlineStr">
        <is>
          <t>Lavoro e professioni</t>
        </is>
      </c>
      <c r="D21" s="58" t="inlineStr">
        <is>
          <t>A2</t>
        </is>
      </c>
      <c r="E21" s="55" t="inlineStr">
        <is>
          <t>Media</t>
        </is>
      </c>
      <c r="F21" s="46" t="n">
        <v>12</v>
      </c>
      <c r="G21" s="46" t="n">
        <v>46</v>
      </c>
    </row>
    <row r="22" ht="27.75" customHeight="1" s="40">
      <c r="A22" s="46" t="inlineStr">
        <is>
          <t>VOC-A2-003</t>
        </is>
      </c>
      <c r="B22" s="56" t="inlineStr">
        <is>
          <t>Lessico tematico</t>
        </is>
      </c>
      <c r="C22" s="56" t="inlineStr">
        <is>
          <t>Shopping, abbigliamento e taglie</t>
        </is>
      </c>
      <c r="D22" s="58" t="inlineStr">
        <is>
          <t>A2</t>
        </is>
      </c>
      <c r="E22" s="55" t="inlineStr">
        <is>
          <t>Media</t>
        </is>
      </c>
      <c r="F22" s="46" t="n">
        <v>10</v>
      </c>
      <c r="G22" s="46" t="n">
        <v>48</v>
      </c>
    </row>
    <row r="23" ht="27.75" customHeight="1" s="40">
      <c r="A23" s="46" t="inlineStr">
        <is>
          <t>VOC-A2-004</t>
        </is>
      </c>
      <c r="B23" s="56" t="inlineStr">
        <is>
          <t>Lessico tematico</t>
        </is>
      </c>
      <c r="C23" s="56" t="inlineStr">
        <is>
          <t>Tempo libero, sport e hobby</t>
        </is>
      </c>
      <c r="D23" s="58" t="inlineStr">
        <is>
          <t>A2</t>
        </is>
      </c>
      <c r="E23" s="49" t="inlineStr">
        <is>
          <t>Bassa</t>
        </is>
      </c>
      <c r="F23" s="46" t="n">
        <v>10</v>
      </c>
      <c r="G23" s="46" t="n">
        <v>53</v>
      </c>
    </row>
    <row r="24" ht="27.75" customHeight="1" s="40">
      <c r="A24" s="46" t="inlineStr">
        <is>
          <t>VOC-A2-005</t>
        </is>
      </c>
      <c r="B24" s="56" t="inlineStr">
        <is>
          <t>Lessico tematico</t>
        </is>
      </c>
      <c r="C24" s="56" t="inlineStr">
        <is>
          <t>Salute, corpo e sintomi</t>
        </is>
      </c>
      <c r="D24" s="58" t="inlineStr">
        <is>
          <t>A2</t>
        </is>
      </c>
      <c r="E24" s="55" t="inlineStr">
        <is>
          <t>Media</t>
        </is>
      </c>
      <c r="F24" s="46" t="n">
        <v>12</v>
      </c>
      <c r="G24" s="46" t="n">
        <v>55</v>
      </c>
    </row>
    <row r="25" ht="27.75" customHeight="1" s="40">
      <c r="A25" s="46" t="inlineStr">
        <is>
          <t>VOC-B1-001</t>
        </is>
      </c>
      <c r="B25" s="56" t="inlineStr">
        <is>
          <t>Lessico tematico</t>
        </is>
      </c>
      <c r="C25" s="56" t="inlineStr">
        <is>
          <t>Phrasal verbs di base</t>
        </is>
      </c>
      <c r="D25" s="59" t="inlineStr">
        <is>
          <t>B1</t>
        </is>
      </c>
      <c r="E25" s="55" t="inlineStr">
        <is>
          <t>Media</t>
        </is>
      </c>
      <c r="F25" s="46" t="n">
        <v>15</v>
      </c>
      <c r="G25" s="46" t="n">
        <v>63</v>
      </c>
    </row>
    <row r="26" ht="27.75" customHeight="1" s="40">
      <c r="A26" s="46" t="inlineStr">
        <is>
          <t>VOC-B1-002</t>
        </is>
      </c>
      <c r="B26" s="56" t="inlineStr">
        <is>
          <t>Lessico tematico</t>
        </is>
      </c>
      <c r="C26" s="56" t="inlineStr">
        <is>
          <t>Connettivi e linker del discorso</t>
        </is>
      </c>
      <c r="D26" s="59" t="inlineStr">
        <is>
          <t>B1</t>
        </is>
      </c>
      <c r="E26" s="55" t="inlineStr">
        <is>
          <t>Media</t>
        </is>
      </c>
      <c r="F26" s="46" t="n">
        <v>12</v>
      </c>
      <c r="G26" s="46" t="n">
        <v>66</v>
      </c>
    </row>
    <row r="27" ht="27.75" customHeight="1" s="40">
      <c r="A27" s="46" t="inlineStr">
        <is>
          <t>VOC-B1-003</t>
        </is>
      </c>
      <c r="B27" s="56" t="inlineStr">
        <is>
          <t>Lessico tematico</t>
        </is>
      </c>
      <c r="C27" s="56" t="inlineStr">
        <is>
          <t>Falsi amici intermedi</t>
        </is>
      </c>
      <c r="D27" s="59" t="inlineStr">
        <is>
          <t>B1</t>
        </is>
      </c>
      <c r="E27" s="55" t="inlineStr">
        <is>
          <t>Media</t>
        </is>
      </c>
      <c r="F27" s="46" t="n">
        <v>12</v>
      </c>
      <c r="G27" s="46" t="n">
        <v>72</v>
      </c>
    </row>
    <row r="28" ht="27.75" customHeight="1" s="40">
      <c r="A28" s="46" t="inlineStr">
        <is>
          <t>VOC-B2-001</t>
        </is>
      </c>
      <c r="B28" s="56" t="inlineStr">
        <is>
          <t>Lessico tematico</t>
        </is>
      </c>
      <c r="C28" s="56" t="inlineStr">
        <is>
          <t>Collocazioni e phrasal verbs avanzati</t>
        </is>
      </c>
      <c r="D28" s="60" t="inlineStr">
        <is>
          <t>B2</t>
        </is>
      </c>
      <c r="E28" s="57" t="inlineStr">
        <is>
          <t>Alta</t>
        </is>
      </c>
      <c r="F28" s="46" t="n">
        <v>15</v>
      </c>
      <c r="G28" s="46" t="n">
        <v>85</v>
      </c>
    </row>
    <row r="29" ht="27.75" customHeight="1" s="40">
      <c r="A29" s="46" t="inlineStr">
        <is>
          <t>VOC-B2-002</t>
        </is>
      </c>
      <c r="B29" s="56" t="inlineStr">
        <is>
          <t>Lessico tematico</t>
        </is>
      </c>
      <c r="C29" s="56" t="inlineStr">
        <is>
          <t>Il lessico del lavoro e delle riunioni</t>
        </is>
      </c>
      <c r="D29" s="60" t="inlineStr">
        <is>
          <t>B2</t>
        </is>
      </c>
      <c r="E29" s="55" t="inlineStr">
        <is>
          <t>Media</t>
        </is>
      </c>
      <c r="F29" s="46" t="n">
        <v>12</v>
      </c>
      <c r="G29" s="46" t="n">
        <v>88</v>
      </c>
    </row>
    <row r="30" ht="27.75" customHeight="1" s="40">
      <c r="A30" s="46" t="inlineStr">
        <is>
          <t>VOC-C1-001</t>
        </is>
      </c>
      <c r="B30" s="56" t="inlineStr">
        <is>
          <t>Lessico tematico</t>
        </is>
      </c>
      <c r="C30" s="56" t="inlineStr">
        <is>
          <t>Idiomi e linguaggio figurato</t>
        </is>
      </c>
      <c r="D30" s="61" t="inlineStr">
        <is>
          <t>C1</t>
        </is>
      </c>
      <c r="E30" s="57" t="inlineStr">
        <is>
          <t>Alta</t>
        </is>
      </c>
      <c r="F30" s="46" t="n">
        <v>15</v>
      </c>
      <c r="G30" s="46" t="n">
        <v>96</v>
      </c>
    </row>
    <row r="31" ht="27.75" customHeight="1" s="40">
      <c r="A31" s="46" t="inlineStr">
        <is>
          <t>VOC-C1-002</t>
        </is>
      </c>
      <c r="B31" s="56" t="inlineStr">
        <is>
          <t>Lessico tematico</t>
        </is>
      </c>
      <c r="C31" s="56" t="inlineStr">
        <is>
          <t>Registro formale e informale</t>
        </is>
      </c>
      <c r="D31" s="61" t="inlineStr">
        <is>
          <t>C1</t>
        </is>
      </c>
      <c r="E31" s="57" t="inlineStr">
        <is>
          <t>Alta</t>
        </is>
      </c>
      <c r="F31" s="46" t="n">
        <v>15</v>
      </c>
      <c r="G31" s="46" t="n">
        <v>102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22" activeCellId="0" sqref="E22"/>
    </sheetView>
  </sheetViews>
  <sheetFormatPr baseColWidth="8" defaultColWidth="8.66796875" defaultRowHeight="15" zeroHeight="0" outlineLevelRow="0"/>
  <cols>
    <col width="8" customWidth="1" style="39" min="1" max="1"/>
    <col width="30" customWidth="1" style="39" min="2" max="2"/>
    <col width="36" customWidth="1" style="39" min="3" max="3"/>
    <col width="60" customWidth="1" style="39" min="4" max="4"/>
    <col width="26" customWidth="1" style="39" min="5" max="5"/>
  </cols>
  <sheetData>
    <row r="1" ht="18" customHeight="1" s="40">
      <c r="A1" s="41" t="inlineStr">
        <is>
          <t>Template della pagina-lezione — Comunicazione</t>
        </is>
      </c>
    </row>
    <row r="2" ht="409.5" customHeight="1" s="40">
      <c r="A2" s="70" t="inlineStr">
        <is>
          <t>Un unico template con tre varianti secondo la Tipologia: Dialogo (tutte le sezioni), Produzione Guidata (senza dialogo interattivo) e Produzione Libera (sezioni 1, 2, 6, 7, 8: la produzione sostituisce il modello guidato).</t>
        </is>
      </c>
    </row>
    <row r="4" ht="15" customHeight="1" s="40">
      <c r="A4" s="44" t="inlineStr">
        <is>
          <t>Ordine</t>
        </is>
      </c>
      <c r="B4" s="44" t="inlineStr">
        <is>
          <t>Sezione della Lezione</t>
        </is>
      </c>
      <c r="C4" s="44" t="inlineStr">
        <is>
          <t>Obiettivo</t>
        </is>
      </c>
      <c r="D4" s="44" t="inlineStr">
        <is>
          <t>Contenuto Previsto</t>
        </is>
      </c>
      <c r="E4" s="44" t="inlineStr">
        <is>
          <t>Formato Web App</t>
        </is>
      </c>
    </row>
    <row r="5" ht="27.75" customHeight="1" s="40">
      <c r="A5" s="74" t="n">
        <v>1</v>
      </c>
      <c r="B5" s="56" t="inlineStr">
        <is>
          <t>Scenario e obiettivo comunicativo</t>
        </is>
      </c>
      <c r="C5" s="56" t="inlineStr">
        <is>
          <t>Contestualizzare la situazione reale.</t>
        </is>
      </c>
      <c r="D5" s="56" t="inlineStr">
        <is>
          <t>Luogo, interlocutori e risultato da raggiungere («Ordinare e pagare al bar»).</t>
        </is>
      </c>
      <c r="E5" s="56" t="inlineStr">
        <is>
          <t>Introduzione visuale</t>
        </is>
      </c>
    </row>
    <row r="6" ht="15" customHeight="1" s="40">
      <c r="A6" s="74" t="n">
        <v>2</v>
      </c>
      <c r="B6" s="56" t="inlineStr">
        <is>
          <t>Lessico ed espressioni utili</t>
        </is>
      </c>
      <c r="C6" s="56" t="inlineStr">
        <is>
          <t>Preparare gli strumenti linguistici.</t>
        </is>
      </c>
      <c r="D6" s="56" t="inlineStr">
        <is>
          <t>Formule chiave, prima di leggere il modello.</t>
        </is>
      </c>
      <c r="E6" s="56" t="inlineStr">
        <is>
          <t>Lista interattiva</t>
        </is>
      </c>
    </row>
    <row r="7" ht="27.75" customHeight="1" s="40">
      <c r="A7" s="74" t="n">
        <v>3</v>
      </c>
      <c r="B7" s="56" t="inlineStr">
        <is>
          <t>Modello</t>
        </is>
      </c>
      <c r="C7" s="56" t="inlineStr">
        <is>
          <t>Mostrare un esempio completo.</t>
        </is>
      </c>
      <c r="D7" s="56" t="inlineStr">
        <is>
          <t>Dialogo a fumetti (tipologia Dialogo) o testo/risposta modello (Produzione).</t>
        </is>
      </c>
      <c r="E7" s="56" t="inlineStr">
        <is>
          <t>Chat/fumetti o card modello</t>
        </is>
      </c>
    </row>
    <row r="8" ht="27.75" customHeight="1" s="40">
      <c r="A8" s="74" t="n">
        <v>4</v>
      </c>
      <c r="B8" s="56" t="inlineStr">
        <is>
          <t>Analisi delle frasi</t>
        </is>
      </c>
      <c r="C8" s="56" t="inlineStr">
        <is>
          <t>Capire le costruzioni usate.</t>
        </is>
      </c>
      <c r="D8" s="56" t="inlineStr">
        <is>
          <t>Note brevi su grammatica, lessico e registro, con link alle lezioni di grammatica collegate.</t>
        </is>
      </c>
      <c r="E8" s="56" t="inlineStr">
        <is>
          <t>Box di approfondimento</t>
        </is>
      </c>
    </row>
    <row r="9" ht="27.75" customHeight="1" s="40">
      <c r="A9" s="74" t="n">
        <v>5</v>
      </c>
      <c r="B9" s="56" t="inlineStr">
        <is>
          <t>Attività guidata</t>
        </is>
      </c>
      <c r="C9" s="56" t="inlineStr">
        <is>
          <t>Far partecipare lo studente con supporto.</t>
        </is>
      </c>
      <c r="D9" s="56" t="inlineStr">
        <is>
          <t>Dialogo interattivo a scelte oppure testo da completare con traccia.</t>
        </is>
      </c>
      <c r="E9" s="56" t="inlineStr">
        <is>
          <t>Simulazione a scelte / editor guidato</t>
        </is>
      </c>
    </row>
    <row r="10" ht="15" customHeight="1" s="40">
      <c r="A10" s="74" t="n">
        <v>6</v>
      </c>
      <c r="B10" s="56" t="inlineStr">
        <is>
          <t>Produzione autonoma</t>
        </is>
      </c>
      <c r="C10" s="56" t="inlineStr">
        <is>
          <t>Produrre senza rete.</t>
        </is>
      </c>
      <c r="D10" s="56" t="inlineStr">
        <is>
          <t>Risposta parlata (registrazione) o scritta senza modello visibile.</t>
        </is>
      </c>
      <c r="E10" s="56" t="inlineStr">
        <is>
          <t>Campo testo o registrazione</t>
        </is>
      </c>
    </row>
    <row r="11" ht="27.75" customHeight="1" s="40">
      <c r="A11" s="74" t="n">
        <v>7</v>
      </c>
      <c r="B11" s="56" t="inlineStr">
        <is>
          <t>Feedback ed errori tipici</t>
        </is>
      </c>
      <c r="C11" s="56" t="inlineStr">
        <is>
          <t>Correggere senza scoraggiare.</t>
        </is>
      </c>
      <c r="D11" s="56" t="inlineStr">
        <is>
          <t>Errori frequenti degli italiani nello scenario + versione migliorata della risposta.</t>
        </is>
      </c>
      <c r="E11" s="56" t="inlineStr">
        <is>
          <t>Feedback + box ❌/✅</t>
        </is>
      </c>
    </row>
    <row r="12" ht="15" customHeight="1" s="40">
      <c r="A12" s="74" t="n">
        <v>8</v>
      </c>
      <c r="B12" s="56" t="inlineStr">
        <is>
          <t>Riepilogo e prossima lezione</t>
        </is>
      </c>
      <c r="C12" s="56" t="inlineStr">
        <is>
          <t>Chiudere il ciclo comunicativo.</t>
        </is>
      </c>
      <c r="D12" s="56" t="inlineStr">
        <is>
          <t>Espressioni da ricordare e collegamento allo scenario successivo.</t>
        </is>
      </c>
      <c r="E12" s="56" t="inlineStr">
        <is>
          <t>Card + pulsante di navigazione</t>
        </is>
      </c>
    </row>
    <row r="14" ht="15.75" customHeight="1" s="40">
      <c r="A14" s="72" t="inlineStr">
        <is>
          <t>Lezioni dell'area Comunicazione</t>
        </is>
      </c>
    </row>
    <row r="15" ht="42" customHeight="1" s="40">
      <c r="A15" s="44" t="inlineStr">
        <is>
          <t>ID Lezione</t>
        </is>
      </c>
      <c r="B15" s="44" t="inlineStr">
        <is>
          <t>Tipologia</t>
        </is>
      </c>
      <c r="C15" s="44" t="inlineStr">
        <is>
          <t>Nome Lezione</t>
        </is>
      </c>
      <c r="D15" s="44" t="inlineStr">
        <is>
          <t>Livello</t>
        </is>
      </c>
      <c r="E15" s="44" t="inlineStr">
        <is>
          <t>Difficoltà</t>
        </is>
      </c>
      <c r="F15" s="44" t="inlineStr">
        <is>
          <t>Durata (min)</t>
        </is>
      </c>
      <c r="G15" s="44" t="inlineStr">
        <is>
          <t>Ordine nel Percorso</t>
        </is>
      </c>
    </row>
    <row r="16" ht="27.75" customHeight="1" s="40">
      <c r="A16" s="46" t="inlineStr">
        <is>
          <t>COM-A1-001</t>
        </is>
      </c>
      <c r="B16" s="56" t="inlineStr">
        <is>
          <t>Dialogo</t>
        </is>
      </c>
      <c r="C16" s="56" t="inlineStr">
        <is>
          <t>Presentarsi e salutare</t>
        </is>
      </c>
      <c r="D16" s="49" t="inlineStr">
        <is>
          <t>A1</t>
        </is>
      </c>
      <c r="E16" s="49" t="inlineStr">
        <is>
          <t>Bassa</t>
        </is>
      </c>
      <c r="F16" s="46" t="n">
        <v>15</v>
      </c>
      <c r="G16" s="46" t="n">
        <v>5</v>
      </c>
    </row>
    <row r="17" ht="27.75" customHeight="1" s="40">
      <c r="A17" s="46" t="inlineStr">
        <is>
          <t>COM-A1-004</t>
        </is>
      </c>
      <c r="B17" s="56" t="inlineStr">
        <is>
          <t>Produzione Guidata</t>
        </is>
      </c>
      <c r="C17" s="56" t="inlineStr">
        <is>
          <t>Parlare di sé: chi sono, cosa faccio</t>
        </is>
      </c>
      <c r="D17" s="49" t="inlineStr">
        <is>
          <t>A1</t>
        </is>
      </c>
      <c r="E17" s="49" t="inlineStr">
        <is>
          <t>Bassa</t>
        </is>
      </c>
      <c r="F17" s="46" t="n">
        <v>15</v>
      </c>
      <c r="G17" s="46" t="n">
        <v>19</v>
      </c>
    </row>
    <row r="18" ht="27.75" customHeight="1" s="40">
      <c r="A18" s="46" t="inlineStr">
        <is>
          <t>COM-A1-002</t>
        </is>
      </c>
      <c r="B18" s="56" t="inlineStr">
        <is>
          <t>Dialogo</t>
        </is>
      </c>
      <c r="C18" s="56" t="inlineStr">
        <is>
          <t>Al bar: ordinare da bere e da mangiare</t>
        </is>
      </c>
      <c r="D18" s="49" t="inlineStr">
        <is>
          <t>A1</t>
        </is>
      </c>
      <c r="E18" s="49" t="inlineStr">
        <is>
          <t>Bassa</t>
        </is>
      </c>
      <c r="F18" s="46" t="n">
        <v>15</v>
      </c>
      <c r="G18" s="46" t="n">
        <v>22</v>
      </c>
    </row>
    <row r="19" ht="27.75" customHeight="1" s="40">
      <c r="A19" s="46" t="inlineStr">
        <is>
          <t>COM-A1-003</t>
        </is>
      </c>
      <c r="B19" s="56" t="inlineStr">
        <is>
          <t>Dialogo</t>
        </is>
      </c>
      <c r="C19" s="56" t="inlineStr">
        <is>
          <t>In hotel: fare il check-in</t>
        </is>
      </c>
      <c r="D19" s="49" t="inlineStr">
        <is>
          <t>A1</t>
        </is>
      </c>
      <c r="E19" s="55" t="inlineStr">
        <is>
          <t>Media</t>
        </is>
      </c>
      <c r="F19" s="46" t="n">
        <v>15</v>
      </c>
      <c r="G19" s="46" t="n">
        <v>26</v>
      </c>
    </row>
    <row r="20" ht="27.75" customHeight="1" s="40">
      <c r="A20" s="46" t="inlineStr">
        <is>
          <t>COM-A1-005</t>
        </is>
      </c>
      <c r="B20" s="56" t="inlineStr">
        <is>
          <t>Produzione Guidata</t>
        </is>
      </c>
      <c r="C20" s="56" t="inlineStr">
        <is>
          <t>Descrivere la propria routine quotidiana</t>
        </is>
      </c>
      <c r="D20" s="49" t="inlineStr">
        <is>
          <t>A1</t>
        </is>
      </c>
      <c r="E20" s="55" t="inlineStr">
        <is>
          <t>Media</t>
        </is>
      </c>
      <c r="F20" s="46" t="n">
        <v>15</v>
      </c>
      <c r="G20" s="46" t="n">
        <v>29</v>
      </c>
    </row>
    <row r="21" ht="27.75" customHeight="1" s="40">
      <c r="A21" s="46" t="inlineStr">
        <is>
          <t>COM-A2-004</t>
        </is>
      </c>
      <c r="B21" s="56" t="inlineStr">
        <is>
          <t>Produzione Guidata</t>
        </is>
      </c>
      <c r="C21" s="56" t="inlineStr">
        <is>
          <t>Raccontare il weekend e il passato recente</t>
        </is>
      </c>
      <c r="D21" s="58" t="inlineStr">
        <is>
          <t>A2</t>
        </is>
      </c>
      <c r="E21" s="55" t="inlineStr">
        <is>
          <t>Media</t>
        </is>
      </c>
      <c r="F21" s="46" t="n">
        <v>15</v>
      </c>
      <c r="G21" s="46" t="n">
        <v>37</v>
      </c>
    </row>
    <row r="22" ht="27.75" customHeight="1" s="40">
      <c r="A22" s="46" t="inlineStr">
        <is>
          <t>COM-A2-001</t>
        </is>
      </c>
      <c r="B22" s="56" t="inlineStr">
        <is>
          <t>Dialogo</t>
        </is>
      </c>
      <c r="C22" s="56" t="inlineStr">
        <is>
          <t>Al ristorante: ordinare e chiedere il conto</t>
        </is>
      </c>
      <c r="D22" s="58" t="inlineStr">
        <is>
          <t>A2</t>
        </is>
      </c>
      <c r="E22" s="55" t="inlineStr">
        <is>
          <t>Media</t>
        </is>
      </c>
      <c r="F22" s="46" t="n">
        <v>15</v>
      </c>
      <c r="G22" s="46" t="n">
        <v>40</v>
      </c>
    </row>
    <row r="23" ht="27.75" customHeight="1" s="40">
      <c r="A23" s="46" t="inlineStr">
        <is>
          <t>COM-A2-002</t>
        </is>
      </c>
      <c r="B23" s="56" t="inlineStr">
        <is>
          <t>Dialogo</t>
        </is>
      </c>
      <c r="C23" s="56" t="inlineStr">
        <is>
          <t>In aeroporto: check-in e controlli</t>
        </is>
      </c>
      <c r="D23" s="58" t="inlineStr">
        <is>
          <t>A2</t>
        </is>
      </c>
      <c r="E23" s="55" t="inlineStr">
        <is>
          <t>Media</t>
        </is>
      </c>
      <c r="F23" s="46" t="n">
        <v>15</v>
      </c>
      <c r="G23" s="46" t="n">
        <v>41</v>
      </c>
    </row>
    <row r="24" ht="27.75" customHeight="1" s="40">
      <c r="A24" s="46" t="inlineStr">
        <is>
          <t>COM-A2-005</t>
        </is>
      </c>
      <c r="B24" s="56" t="inlineStr">
        <is>
          <t>Produzione Guidata</t>
        </is>
      </c>
      <c r="C24" s="56" t="inlineStr">
        <is>
          <t>Parlare di programmi e intenzioni future</t>
        </is>
      </c>
      <c r="D24" s="58" t="inlineStr">
        <is>
          <t>A2</t>
        </is>
      </c>
      <c r="E24" s="55" t="inlineStr">
        <is>
          <t>Media</t>
        </is>
      </c>
      <c r="F24" s="46" t="n">
        <v>15</v>
      </c>
      <c r="G24" s="46" t="n">
        <v>43</v>
      </c>
    </row>
    <row r="25" ht="27.75" customHeight="1" s="40">
      <c r="A25" s="46" t="inlineStr">
        <is>
          <t>COM-A2-003</t>
        </is>
      </c>
      <c r="B25" s="56" t="inlineStr">
        <is>
          <t>Dialogo</t>
        </is>
      </c>
      <c r="C25" s="56" t="inlineStr">
        <is>
          <t>In negozio: acquisti, taglie e resi</t>
        </is>
      </c>
      <c r="D25" s="58" t="inlineStr">
        <is>
          <t>A2</t>
        </is>
      </c>
      <c r="E25" s="55" t="inlineStr">
        <is>
          <t>Media</t>
        </is>
      </c>
      <c r="F25" s="46" t="n">
        <v>15</v>
      </c>
      <c r="G25" s="46" t="n">
        <v>49</v>
      </c>
    </row>
    <row r="26" ht="27.75" customHeight="1" s="40">
      <c r="A26" s="46" t="inlineStr">
        <is>
          <t>COM-A2-006</t>
        </is>
      </c>
      <c r="B26" s="56" t="inlineStr">
        <is>
          <t>Produzione Libera</t>
        </is>
      </c>
      <c r="C26" s="56" t="inlineStr">
        <is>
          <t>Scrivere un messaggio e una e-mail semplice</t>
        </is>
      </c>
      <c r="D26" s="58" t="inlineStr">
        <is>
          <t>A2</t>
        </is>
      </c>
      <c r="E26" s="55" t="inlineStr">
        <is>
          <t>Media</t>
        </is>
      </c>
      <c r="F26" s="46" t="n">
        <v>20</v>
      </c>
      <c r="G26" s="46" t="n">
        <v>56</v>
      </c>
    </row>
    <row r="27" ht="27.75" customHeight="1" s="40">
      <c r="A27" s="46" t="inlineStr">
        <is>
          <t>COM-B1-004</t>
        </is>
      </c>
      <c r="B27" s="56" t="inlineStr">
        <is>
          <t>Produzione Libera</t>
        </is>
      </c>
      <c r="C27" s="56" t="inlineStr">
        <is>
          <t>Raccontare un'esperienza in modo dettagliato</t>
        </is>
      </c>
      <c r="D27" s="59" t="inlineStr">
        <is>
          <t>B1</t>
        </is>
      </c>
      <c r="E27" s="57" t="inlineStr">
        <is>
          <t>Alta</t>
        </is>
      </c>
      <c r="F27" s="46" t="n">
        <v>20</v>
      </c>
      <c r="G27" s="46" t="n">
        <v>61</v>
      </c>
    </row>
    <row r="28" ht="27.75" customHeight="1" s="40">
      <c r="A28" s="46" t="inlineStr">
        <is>
          <t>COM-B1-003</t>
        </is>
      </c>
      <c r="B28" s="56" t="inlineStr">
        <is>
          <t>Produzione Guidata</t>
        </is>
      </c>
      <c r="C28" s="56" t="inlineStr">
        <is>
          <t>Esprimere e motivare la propria opinione</t>
        </is>
      </c>
      <c r="D28" s="59" t="inlineStr">
        <is>
          <t>B1</t>
        </is>
      </c>
      <c r="E28" s="55" t="inlineStr">
        <is>
          <t>Media</t>
        </is>
      </c>
      <c r="F28" s="46" t="n">
        <v>15</v>
      </c>
      <c r="G28" s="46" t="n">
        <v>67</v>
      </c>
    </row>
    <row r="29" ht="27.75" customHeight="1" s="40">
      <c r="A29" s="46" t="inlineStr">
        <is>
          <t>COM-B1-001</t>
        </is>
      </c>
      <c r="B29" s="56" t="inlineStr">
        <is>
          <t>Dialogo</t>
        </is>
      </c>
      <c r="C29" s="56" t="inlineStr">
        <is>
          <t>Colloquio di lavoro: domande e risposte</t>
        </is>
      </c>
      <c r="D29" s="59" t="inlineStr">
        <is>
          <t>B1</t>
        </is>
      </c>
      <c r="E29" s="57" t="inlineStr">
        <is>
          <t>Alta</t>
        </is>
      </c>
      <c r="F29" s="46" t="n">
        <v>20</v>
      </c>
      <c r="G29" s="46" t="n">
        <v>71</v>
      </c>
    </row>
    <row r="30" ht="27.75" customHeight="1" s="40">
      <c r="A30" s="46" t="inlineStr">
        <is>
          <t>COM-B1-002</t>
        </is>
      </c>
      <c r="B30" s="56" t="inlineStr">
        <is>
          <t>Dialogo</t>
        </is>
      </c>
      <c r="C30" s="56" t="inlineStr">
        <is>
          <t>Dal medico: descrivere sintomi e problemi</t>
        </is>
      </c>
      <c r="D30" s="59" t="inlineStr">
        <is>
          <t>B1</t>
        </is>
      </c>
      <c r="E30" s="55" t="inlineStr">
        <is>
          <t>Media</t>
        </is>
      </c>
      <c r="F30" s="46" t="n">
        <v>15</v>
      </c>
      <c r="G30" s="46" t="n">
        <v>73</v>
      </c>
    </row>
    <row r="31" ht="27.75" customHeight="1" s="40">
      <c r="A31" s="46" t="inlineStr">
        <is>
          <t>COM-B1-005</t>
        </is>
      </c>
      <c r="B31" s="56" t="inlineStr">
        <is>
          <t>Produzione Libera</t>
        </is>
      </c>
      <c r="C31" s="56" t="inlineStr">
        <is>
          <t>Scrivere un'e-mail informale</t>
        </is>
      </c>
      <c r="D31" s="59" t="inlineStr">
        <is>
          <t>B1</t>
        </is>
      </c>
      <c r="E31" s="55" t="inlineStr">
        <is>
          <t>Media</t>
        </is>
      </c>
      <c r="F31" s="46" t="n">
        <v>20</v>
      </c>
      <c r="G31" s="46" t="n">
        <v>78</v>
      </c>
    </row>
    <row r="32" ht="27.75" customHeight="1" s="40">
      <c r="A32" s="46" t="inlineStr">
        <is>
          <t>COM-B2-003</t>
        </is>
      </c>
      <c r="B32" s="56" t="inlineStr">
        <is>
          <t>Produzione Guidata</t>
        </is>
      </c>
      <c r="C32" s="56" t="inlineStr">
        <is>
          <t>Confrontare vantaggi e svantaggi</t>
        </is>
      </c>
      <c r="D32" s="60" t="inlineStr">
        <is>
          <t>B2</t>
        </is>
      </c>
      <c r="E32" s="55" t="inlineStr">
        <is>
          <t>Media</t>
        </is>
      </c>
      <c r="F32" s="46" t="n">
        <v>15</v>
      </c>
      <c r="G32" s="46" t="n">
        <v>83</v>
      </c>
    </row>
    <row r="33" ht="27.75" customHeight="1" s="40">
      <c r="A33" s="46" t="inlineStr">
        <is>
          <t>COM-B2-001</t>
        </is>
      </c>
      <c r="B33" s="56" t="inlineStr">
        <is>
          <t>Dialogo</t>
        </is>
      </c>
      <c r="C33" s="56" t="inlineStr">
        <is>
          <t>Riunione di lavoro: proporre e negoziare</t>
        </is>
      </c>
      <c r="D33" s="60" t="inlineStr">
        <is>
          <t>B2</t>
        </is>
      </c>
      <c r="E33" s="57" t="inlineStr">
        <is>
          <t>Alta</t>
        </is>
      </c>
      <c r="F33" s="46" t="n">
        <v>20</v>
      </c>
      <c r="G33" s="46" t="n">
        <v>89</v>
      </c>
    </row>
    <row r="34" ht="27.75" customHeight="1" s="40">
      <c r="A34" s="46" t="inlineStr">
        <is>
          <t>COM-B2-002</t>
        </is>
      </c>
      <c r="B34" s="56" t="inlineStr">
        <is>
          <t>Dialogo</t>
        </is>
      </c>
      <c r="C34" s="56" t="inlineStr">
        <is>
          <t>Gestire un problema o un reclamo</t>
        </is>
      </c>
      <c r="D34" s="60" t="inlineStr">
        <is>
          <t>B2</t>
        </is>
      </c>
      <c r="E34" s="55" t="inlineStr">
        <is>
          <t>Media</t>
        </is>
      </c>
      <c r="F34" s="46" t="n">
        <v>20</v>
      </c>
      <c r="G34" s="46" t="n">
        <v>91</v>
      </c>
    </row>
    <row r="35" ht="27.75" customHeight="1" s="40">
      <c r="A35" s="46" t="inlineStr">
        <is>
          <t>COM-B2-004</t>
        </is>
      </c>
      <c r="B35" s="56" t="inlineStr">
        <is>
          <t>Produzione Libera</t>
        </is>
      </c>
      <c r="C35" s="56" t="inlineStr">
        <is>
          <t>Sostenere un'argomentazione</t>
        </is>
      </c>
      <c r="D35" s="60" t="inlineStr">
        <is>
          <t>B2</t>
        </is>
      </c>
      <c r="E35" s="57" t="inlineStr">
        <is>
          <t>Alta</t>
        </is>
      </c>
      <c r="F35" s="46" t="n">
        <v>20</v>
      </c>
      <c r="G35" s="46" t="n">
        <v>92</v>
      </c>
    </row>
    <row r="36" ht="27.75" customHeight="1" s="40">
      <c r="A36" s="46" t="inlineStr">
        <is>
          <t>COM-B2-005</t>
        </is>
      </c>
      <c r="B36" s="56" t="inlineStr">
        <is>
          <t>Produzione Libera</t>
        </is>
      </c>
      <c r="C36" s="56" t="inlineStr">
        <is>
          <t>Scrivere un'e-mail formale</t>
        </is>
      </c>
      <c r="D36" s="60" t="inlineStr">
        <is>
          <t>B2</t>
        </is>
      </c>
      <c r="E36" s="55" t="inlineStr">
        <is>
          <t>Media</t>
        </is>
      </c>
      <c r="F36" s="46" t="n">
        <v>20</v>
      </c>
      <c r="G36" s="46" t="n">
        <v>93</v>
      </c>
    </row>
    <row r="37" ht="27.75" customHeight="1" s="40">
      <c r="A37" s="46" t="inlineStr">
        <is>
          <t>COM-C1-001</t>
        </is>
      </c>
      <c r="B37" s="56" t="inlineStr">
        <is>
          <t>Dialogo</t>
        </is>
      </c>
      <c r="C37" s="56" t="inlineStr">
        <is>
          <t>Negoziazione professionale avanzata</t>
        </is>
      </c>
      <c r="D37" s="61" t="inlineStr">
        <is>
          <t>C1</t>
        </is>
      </c>
      <c r="E37" s="57" t="inlineStr">
        <is>
          <t>Alta</t>
        </is>
      </c>
      <c r="F37" s="46" t="n">
        <v>25</v>
      </c>
      <c r="G37" s="46" t="n">
        <v>101</v>
      </c>
    </row>
    <row r="38" ht="27.75" customHeight="1" s="40">
      <c r="A38" s="46" t="inlineStr">
        <is>
          <t>COM-C1-002</t>
        </is>
      </c>
      <c r="B38" s="56" t="inlineStr">
        <is>
          <t>Produzione Libera</t>
        </is>
      </c>
      <c r="C38" s="56" t="inlineStr">
        <is>
          <t>Presentare un tema complesso con chiarezza</t>
        </is>
      </c>
      <c r="D38" s="61" t="inlineStr">
        <is>
          <t>C1</t>
        </is>
      </c>
      <c r="E38" s="57" t="inlineStr">
        <is>
          <t>Alta</t>
        </is>
      </c>
      <c r="F38" s="46" t="n">
        <v>25</v>
      </c>
      <c r="G38" s="46" t="n">
        <v>103</v>
      </c>
    </row>
    <row r="39" ht="27.75" customHeight="1" s="40">
      <c r="A39" s="46" t="inlineStr">
        <is>
          <t>COM-C1-003</t>
        </is>
      </c>
      <c r="B39" s="56" t="inlineStr">
        <is>
          <t>Produzione Libera</t>
        </is>
      </c>
      <c r="C39" s="56" t="inlineStr">
        <is>
          <t>Scrivere un report strutturato</t>
        </is>
      </c>
      <c r="D39" s="61" t="inlineStr">
        <is>
          <t>C1</t>
        </is>
      </c>
      <c r="E39" s="57" t="inlineStr">
        <is>
          <t>Alta</t>
        </is>
      </c>
      <c r="F39" s="46" t="n">
        <v>25</v>
      </c>
      <c r="G39" s="46" t="n">
        <v>104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22" customWidth="1" style="39" min="1" max="8"/>
  </cols>
  <sheetData>
    <row r="1" ht="18" customHeight="1" s="40">
      <c r="A1" s="41" t="inlineStr">
        <is>
          <t>LISTE PER I MENU A TENDINA</t>
        </is>
      </c>
    </row>
    <row r="2" ht="15" customHeight="1" s="40">
      <c r="A2" s="42" t="inlineStr">
        <is>
          <t>Queste colonne alimentano le convalide dati degli altri fogli. Ogni colonna corrisponde a una tabella su Neon: Area Didattica → mapping_area_lezione, Tipologia Lezione → mapping_tipologia, Livello Linguistico → mapping_livello, Difficoltà → mapping_difficolta_lezione, Stato della Lezione → learning_statolezione.</t>
        </is>
      </c>
    </row>
    <row r="3"/>
    <row r="4" ht="15" customHeight="1" s="40">
      <c r="A4" s="44" t="inlineStr">
        <is>
          <t>Area Didattica</t>
        </is>
      </c>
      <c r="B4" s="44" t="inlineStr">
        <is>
          <t>Tipologia Lezione</t>
        </is>
      </c>
      <c r="C4" s="44" t="inlineStr">
        <is>
          <t>Livello Linguistico</t>
        </is>
      </c>
      <c r="D4" s="44" t="inlineStr">
        <is>
          <t>Difficoltà</t>
        </is>
      </c>
      <c r="E4" s="44" t="inlineStr">
        <is>
          <t>Stato della Lezione</t>
        </is>
      </c>
      <c r="F4" s="44" t="inlineStr">
        <is>
          <t>Priorità Roadmap</t>
        </is>
      </c>
      <c r="G4" s="44" t="inlineStr">
        <is>
          <t>Complessità</t>
        </is>
      </c>
    </row>
    <row r="5" ht="15" customHeight="1" s="40">
      <c r="A5" s="53" t="inlineStr">
        <is>
          <t>Grammatica</t>
        </is>
      </c>
      <c r="B5" s="53" t="inlineStr">
        <is>
          <t>Regola ed esercizi</t>
        </is>
      </c>
      <c r="C5" s="53" t="inlineStr">
        <is>
          <t>A1</t>
        </is>
      </c>
      <c r="D5" s="53" t="inlineStr">
        <is>
          <t>Bassa</t>
        </is>
      </c>
      <c r="E5" s="53" t="inlineStr">
        <is>
          <t>Da sviluppare</t>
        </is>
      </c>
      <c r="F5" s="53" t="inlineStr">
        <is>
          <t>Alta</t>
        </is>
      </c>
      <c r="G5" s="53" t="inlineStr">
        <is>
          <t>Bassa</t>
        </is>
      </c>
    </row>
    <row r="6" ht="15" customHeight="1" s="40">
      <c r="A6" s="53" t="inlineStr">
        <is>
          <t>Vocabolario</t>
        </is>
      </c>
      <c r="B6" s="53" t="inlineStr">
        <is>
          <t>Lessico tematico</t>
        </is>
      </c>
      <c r="C6" s="53" t="inlineStr">
        <is>
          <t>A2</t>
        </is>
      </c>
      <c r="D6" s="53" t="inlineStr">
        <is>
          <t>Media</t>
        </is>
      </c>
      <c r="E6" s="53" t="inlineStr">
        <is>
          <t>Da sviluppare (MVP)</t>
        </is>
      </c>
      <c r="F6" s="53" t="inlineStr">
        <is>
          <t>Media</t>
        </is>
      </c>
      <c r="G6" s="53" t="inlineStr">
        <is>
          <t>Media</t>
        </is>
      </c>
    </row>
    <row r="7" ht="15" customHeight="1" s="40">
      <c r="A7" s="53" t="inlineStr">
        <is>
          <t>Comunicazione</t>
        </is>
      </c>
      <c r="B7" s="53" t="inlineStr">
        <is>
          <t>Dialogo</t>
        </is>
      </c>
      <c r="C7" s="53" t="inlineStr">
        <is>
          <t>B1</t>
        </is>
      </c>
      <c r="D7" s="53" t="inlineStr">
        <is>
          <t>Alta</t>
        </is>
      </c>
      <c r="E7" s="53" t="inlineStr">
        <is>
          <t>In sviluppo</t>
        </is>
      </c>
      <c r="F7" s="53" t="inlineStr">
        <is>
          <t>Bassa</t>
        </is>
      </c>
      <c r="G7" s="53" t="inlineStr">
        <is>
          <t>Alta</t>
        </is>
      </c>
    </row>
    <row r="8" ht="15" customHeight="1" s="40">
      <c r="A8" s="53" t="n"/>
      <c r="B8" s="53" t="inlineStr">
        <is>
          <t>Produzione Guidata</t>
        </is>
      </c>
      <c r="C8" s="53" t="inlineStr">
        <is>
          <t>B2</t>
        </is>
      </c>
      <c r="E8" s="53" t="inlineStr">
        <is>
          <t>In revisione</t>
        </is>
      </c>
    </row>
    <row r="9" ht="15" customHeight="1" s="40">
      <c r="B9" s="53" t="inlineStr">
        <is>
          <t>Produzione Libera</t>
        </is>
      </c>
      <c r="C9" s="53" t="inlineStr">
        <is>
          <t>C1</t>
        </is>
      </c>
      <c r="E9" s="53" t="inlineStr">
        <is>
          <t>Completata</t>
        </is>
      </c>
    </row>
    <row r="10" ht="15" customHeight="1" s="40">
      <c r="B10" s="53" t="n"/>
      <c r="C10" s="53" t="inlineStr">
        <is>
          <t>C2</t>
        </is>
      </c>
      <c r="E10" s="53" t="inlineStr">
        <is>
          <t>Pubblicata</t>
        </is>
      </c>
    </row>
    <row r="11"/>
    <row r="12"/>
    <row r="13"/>
    <row r="14" ht="15" customHeight="1" s="40">
      <c r="A14" s="75" t="inlineStr">
        <is>
          <t>Codici ID per area</t>
        </is>
      </c>
    </row>
    <row r="15" ht="15" customHeight="1" s="40">
      <c r="A15" s="76" t="inlineStr">
        <is>
          <t>Area</t>
        </is>
      </c>
      <c r="B15" s="76" t="inlineStr">
        <is>
          <t>Codice</t>
        </is>
      </c>
    </row>
    <row r="16" ht="15" customHeight="1" s="40">
      <c r="A16" s="77" t="inlineStr">
        <is>
          <t>Grammatica</t>
        </is>
      </c>
      <c r="B16" s="53" t="inlineStr">
        <is>
          <t>GRA</t>
        </is>
      </c>
    </row>
    <row r="17" ht="15" customHeight="1" s="40">
      <c r="A17" s="78" t="inlineStr">
        <is>
          <t>Vocabolario</t>
        </is>
      </c>
      <c r="B17" s="53" t="inlineStr">
        <is>
          <t>VOC</t>
        </is>
      </c>
    </row>
    <row r="18" ht="15" customHeight="1" s="40">
      <c r="A18" s="79" t="inlineStr">
        <is>
          <t>Comunicazione</t>
        </is>
      </c>
      <c r="B18" s="53" t="inlineStr">
        <is>
          <t>COM</t>
        </is>
      </c>
    </row>
    <row r="19" ht="15" customHeight="1" s="40">
      <c r="A19" s="80" t="n"/>
      <c r="B19" s="53" t="n"/>
    </row>
    <row r="20"/>
    <row r="21" ht="15" customHeight="1" s="40">
      <c r="A21" s="42" t="inlineStr">
        <is>
          <t>Regola ID: CODICE-LIVELLO-NNN (es. GRA-A1-001) — univoco, leggibile, pronto per database e URL (es. /lezioni/gra-a1-001).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style="40" min="1" max="1"/>
    <col width="22" customWidth="1" style="40" min="2" max="2"/>
    <col width="14" customWidth="1" style="40" min="3" max="3"/>
    <col width="68" customWidth="1" style="40" min="4" max="4"/>
  </cols>
  <sheetData>
    <row r="1">
      <c r="A1" s="81" t="inlineStr">
        <is>
          <t>STRUTTURA_LEZIONE — sezioni che compongono una lezione</t>
        </is>
      </c>
    </row>
    <row r="2" ht="30" customHeight="1" s="40">
      <c r="A2" s="82" t="inlineStr">
        <is>
          <t>Tabella Neon: struttura_lezione (ex learning_sezionelezione). Una riga per sezione, ordinata da «ordine» (UNIQUE con lezione_id). I template per area sono nei fogli Grammatica / Vocabolario / Comunicazione.</t>
        </is>
      </c>
    </row>
    <row r="4">
      <c r="A4" s="83" t="inlineStr">
        <is>
          <t>Colonna</t>
        </is>
      </c>
      <c r="B4" s="83" t="inlineStr">
        <is>
          <t>Tipo Neon</t>
        </is>
      </c>
      <c r="C4" s="83" t="inlineStr">
        <is>
          <t>Obbligatoria</t>
        </is>
      </c>
      <c r="D4" s="83" t="inlineStr">
        <is>
          <t>Descrizione</t>
        </is>
      </c>
    </row>
    <row r="5">
      <c r="A5" s="84" t="inlineStr">
        <is>
          <t>id</t>
        </is>
      </c>
      <c r="B5" s="84" t="inlineStr">
        <is>
          <t>bigint (identity)</t>
        </is>
      </c>
      <c r="C5" s="84" t="inlineStr">
        <is>
          <t>si</t>
        </is>
      </c>
      <c r="D5" s="84" t="inlineStr">
        <is>
          <t>Chiave primaria tecnica.</t>
        </is>
      </c>
    </row>
    <row r="6">
      <c r="A6" s="84" t="inlineStr">
        <is>
          <t>lezione_id</t>
        </is>
      </c>
      <c r="B6" s="84" t="inlineStr">
        <is>
          <t>varchar(32) FK</t>
        </is>
      </c>
      <c r="C6" s="84" t="inlineStr">
        <is>
          <t>si</t>
        </is>
      </c>
      <c r="D6" s="84" t="inlineStr">
        <is>
          <t>Riferimento a learning_lezione.id.</t>
        </is>
      </c>
    </row>
    <row r="7">
      <c r="A7" s="84" t="inlineStr">
        <is>
          <t>ordine</t>
        </is>
      </c>
      <c r="B7" s="84" t="inlineStr">
        <is>
          <t>smallint</t>
        </is>
      </c>
      <c r="C7" s="84" t="inlineStr">
        <is>
          <t>si</t>
        </is>
      </c>
      <c r="D7" s="84" t="inlineStr">
        <is>
          <t>Posizione della sezione. UNIQUE con lezione_id.</t>
        </is>
      </c>
    </row>
    <row r="8">
      <c r="A8" s="84" t="inlineStr">
        <is>
          <t>tipo_sezione</t>
        </is>
      </c>
      <c r="B8" s="84" t="inlineStr">
        <is>
          <t>varchar(80)</t>
        </is>
      </c>
      <c r="C8" s="84" t="inlineStr">
        <is>
          <t>si</t>
        </is>
      </c>
      <c r="D8" s="84" t="inlineStr">
        <is>
          <t>Nome della sezione, es. «Regola e uso».</t>
        </is>
      </c>
    </row>
    <row r="9">
      <c r="A9" s="84" t="inlineStr">
        <is>
          <t>contenuto</t>
        </is>
      </c>
      <c r="B9" s="84" t="inlineStr">
        <is>
          <t>jsonb</t>
        </is>
      </c>
      <c r="C9" s="84" t="inlineStr">
        <is>
          <t>si</t>
        </is>
      </c>
      <c r="D9" s="84" t="inlineStr">
        <is>
          <t>Chiavi tipiche: titolo, testo, elementi. Con formato_web = todo contiene il segnaposto TODO_FONTE.</t>
        </is>
      </c>
    </row>
    <row r="10">
      <c r="A10" s="84" t="inlineStr">
        <is>
          <t>formato_web</t>
        </is>
      </c>
      <c r="B10" s="84" t="inlineStr">
        <is>
          <t>varchar(40)</t>
        </is>
      </c>
      <c r="C10" s="84" t="inlineStr">
        <is>
          <t>si</t>
        </is>
      </c>
      <c r="D10" s="84" t="inlineStr">
        <is>
          <t>Resa nel frontend: testo, lista, errore_box, todo.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style="40" min="1" max="1"/>
    <col width="22" customWidth="1" style="40" min="2" max="2"/>
    <col width="14" customWidth="1" style="40" min="3" max="3"/>
    <col width="68" customWidth="1" style="40" min="4" max="4"/>
  </cols>
  <sheetData>
    <row r="1">
      <c r="A1" s="81" t="inlineStr">
        <is>
          <t>STRUTTURA_QUIZ — parte esercitativa della lezione</t>
        </is>
      </c>
    </row>
    <row r="2" ht="30" customHeight="1" s="40">
      <c r="A2" s="82" t="inlineStr">
        <is>
          <t>Tabella Neon: struttura_quiz (ex learning_quiz). Al massimo due righe per lezione, una per modalita. I quesiti stanno nei fogli struttura_quiz_guidato e struttura_quiz_finale.</t>
        </is>
      </c>
    </row>
    <row r="4">
      <c r="A4" s="83" t="inlineStr">
        <is>
          <t>Colonna</t>
        </is>
      </c>
      <c r="B4" s="83" t="inlineStr">
        <is>
          <t>Tipo Neon</t>
        </is>
      </c>
      <c r="C4" s="83" t="inlineStr">
        <is>
          <t>Obbligatoria</t>
        </is>
      </c>
      <c r="D4" s="83" t="inlineStr">
        <is>
          <t>Descrizione</t>
        </is>
      </c>
    </row>
    <row r="5">
      <c r="A5" s="84" t="inlineStr">
        <is>
          <t>id</t>
        </is>
      </c>
      <c r="B5" s="84" t="inlineStr">
        <is>
          <t>bigint (identity)</t>
        </is>
      </c>
      <c r="C5" s="84" t="inlineStr">
        <is>
          <t>si</t>
        </is>
      </c>
      <c r="D5" s="84" t="inlineStr">
        <is>
          <t>Chiave primaria tecnica.</t>
        </is>
      </c>
    </row>
    <row r="6">
      <c r="A6" s="84" t="inlineStr">
        <is>
          <t>lezione_id</t>
        </is>
      </c>
      <c r="B6" s="84" t="inlineStr">
        <is>
          <t>varchar(32) FK</t>
        </is>
      </c>
      <c r="C6" s="84" t="inlineStr">
        <is>
          <t>si</t>
        </is>
      </c>
      <c r="D6" s="84" t="inlineStr">
        <is>
          <t>Riferimento a learning_lezione.id.</t>
        </is>
      </c>
    </row>
    <row r="7">
      <c r="A7" s="84" t="inlineStr">
        <is>
          <t>modalita</t>
        </is>
      </c>
      <c r="B7" s="84" t="inlineStr">
        <is>
          <t>varchar(10)</t>
        </is>
      </c>
      <c r="C7" s="84" t="inlineStr">
        <is>
          <t>si</t>
        </is>
      </c>
      <c r="D7" s="84" t="inlineStr">
        <is>
          <t>guidato oppure finale. UNIQUE con lezione_id.</t>
        </is>
      </c>
    </row>
    <row r="8">
      <c r="A8" s="84" t="inlineStr">
        <is>
          <t>titolo</t>
        </is>
      </c>
      <c r="B8" s="84" t="inlineStr">
        <is>
          <t>varchar(160)</t>
        </is>
      </c>
      <c r="C8" s="84" t="inlineStr">
        <is>
          <t>si</t>
        </is>
      </c>
      <c r="D8" s="84" t="inlineStr">
        <is>
          <t>Titolo mostrato all'utente.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style="40" min="1" max="1"/>
    <col width="22" customWidth="1" style="40" min="2" max="2"/>
    <col width="14" customWidth="1" style="40" min="3" max="3"/>
    <col width="68" customWidth="1" style="40" min="4" max="4"/>
  </cols>
  <sheetData>
    <row r="1">
      <c r="A1" s="81" t="inlineStr">
        <is>
          <t>STRUTTURA_QUIZ_GUIDATO — quesiti dell'esercizio guidato</t>
        </is>
      </c>
    </row>
    <row r="2" ht="30" customHeight="1" s="40">
      <c r="A2" s="82" t="inlineStr">
        <is>
          <t>Tabella Neon: struttura_quiz_guidato, dalla separazione di learning_quesito. Correzione immediata, un quesito alla volta, senza punteggio. API: /api/lezioni/&lt;id&gt;/quiz/guidato/quesiti/&lt;qid&gt;/verifica/</t>
        </is>
      </c>
    </row>
    <row r="4">
      <c r="A4" s="83" t="inlineStr">
        <is>
          <t>Colonna</t>
        </is>
      </c>
      <c r="B4" s="83" t="inlineStr">
        <is>
          <t>Tipo Neon</t>
        </is>
      </c>
      <c r="C4" s="83" t="inlineStr">
        <is>
          <t>Obbligatoria</t>
        </is>
      </c>
      <c r="D4" s="83" t="inlineStr">
        <is>
          <t>Descrizione</t>
        </is>
      </c>
    </row>
    <row r="5">
      <c r="A5" s="84" t="inlineStr">
        <is>
          <t>id</t>
        </is>
      </c>
      <c r="B5" s="84" t="inlineStr">
        <is>
          <t>bigint (identity)</t>
        </is>
      </c>
      <c r="C5" s="84" t="inlineStr">
        <is>
          <t>si</t>
        </is>
      </c>
      <c r="D5" s="84" t="inlineStr">
        <is>
          <t>Chiave primaria tecnica. Univoca solo dentro questa tabella.</t>
        </is>
      </c>
    </row>
    <row r="6">
      <c r="A6" s="84" t="inlineStr">
        <is>
          <t>quiz_id</t>
        </is>
      </c>
      <c r="B6" s="84" t="inlineStr">
        <is>
          <t>bigint FK</t>
        </is>
      </c>
      <c r="C6" s="84" t="inlineStr">
        <is>
          <t>si</t>
        </is>
      </c>
      <c r="D6" s="84" t="inlineStr">
        <is>
          <t>Riferimento a struttura_quiz.id, modalita guidato.</t>
        </is>
      </c>
    </row>
    <row r="7">
      <c r="A7" s="84" t="inlineStr">
        <is>
          <t>ordine</t>
        </is>
      </c>
      <c r="B7" s="84" t="inlineStr">
        <is>
          <t>smallint</t>
        </is>
      </c>
      <c r="C7" s="84" t="inlineStr">
        <is>
          <t>si</t>
        </is>
      </c>
      <c r="D7" s="84" t="inlineStr">
        <is>
          <t>Posizione del quesito. UNIQUE con quiz_id.</t>
        </is>
      </c>
    </row>
    <row r="8">
      <c r="A8" s="84" t="inlineStr">
        <is>
          <t>tipo</t>
        </is>
      </c>
      <c r="B8" s="84" t="inlineStr">
        <is>
          <t>varchar(20)</t>
        </is>
      </c>
      <c r="C8" s="84" t="inlineStr">
        <is>
          <t>si</t>
        </is>
      </c>
      <c r="D8" s="84" t="inlineStr">
        <is>
          <t>completamento oppure scelta_multipla.</t>
        </is>
      </c>
    </row>
    <row r="9">
      <c r="A9" s="84" t="inlineStr">
        <is>
          <t>testo</t>
        </is>
      </c>
      <c r="B9" s="84" t="inlineStr">
        <is>
          <t>text</t>
        </is>
      </c>
      <c r="C9" s="84" t="inlineStr">
        <is>
          <t>si</t>
        </is>
      </c>
      <c r="D9" s="84" t="inlineStr">
        <is>
          <t>Testo del quesito mostrato all'utente.</t>
        </is>
      </c>
    </row>
    <row r="10">
      <c r="A10" s="84" t="inlineStr">
        <is>
          <t>opzioni</t>
        </is>
      </c>
      <c r="B10" s="84" t="inlineStr">
        <is>
          <t>jsonb</t>
        </is>
      </c>
      <c r="C10" s="84" t="inlineStr">
        <is>
          <t>si</t>
        </is>
      </c>
      <c r="D10" s="84" t="inlineStr">
        <is>
          <t>Alternative per scelta_multipla; lista vuota per completamento.</t>
        </is>
      </c>
    </row>
    <row r="11">
      <c r="A11" s="84" t="inlineStr">
        <is>
          <t>risposta_corretta</t>
        </is>
      </c>
      <c r="B11" s="84" t="inlineStr">
        <is>
          <t>varchar(300)</t>
        </is>
      </c>
      <c r="C11" s="84" t="inlineStr">
        <is>
          <t>si</t>
        </is>
      </c>
      <c r="D11" s="84" t="inlineStr">
        <is>
          <t>Soluzione. Varianti accettate separate da «|».</t>
        </is>
      </c>
    </row>
    <row r="12">
      <c r="A12" s="84" t="inlineStr">
        <is>
          <t>spiegazione</t>
        </is>
      </c>
      <c r="B12" s="84" t="inlineStr">
        <is>
          <t>text</t>
        </is>
      </c>
      <c r="C12" s="84" t="inlineStr">
        <is>
          <t>si</t>
        </is>
      </c>
      <c r="D12" s="84" t="inlineStr">
        <is>
          <t>Mostrata dopo la verifica. Mai inviata al client prima della risposta.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style="40" min="1" max="1"/>
    <col width="22" customWidth="1" style="40" min="2" max="2"/>
    <col width="14" customWidth="1" style="40" min="3" max="3"/>
    <col width="68" customWidth="1" style="40" min="4" max="4"/>
  </cols>
  <sheetData>
    <row r="1">
      <c r="A1" s="81" t="inlineStr">
        <is>
          <t>STRUTTURA_QUIZ_FINALE — quesiti del quiz finale</t>
        </is>
      </c>
    </row>
    <row r="2" ht="30" customHeight="1" s="40">
      <c r="A2" s="82" t="inlineStr">
        <is>
          <t>Tabella Neon: struttura_quiz_finale, dalla separazione di learning_quesito. Corretti in blocco: producono il punteggio in learning_progresso (soglia 70). API: /api/lezioni/&lt;id&gt;/quiz/finale/quesiti/&lt;qid&gt;/verifica/</t>
        </is>
      </c>
    </row>
    <row r="4">
      <c r="A4" s="83" t="inlineStr">
        <is>
          <t>Colonna</t>
        </is>
      </c>
      <c r="B4" s="83" t="inlineStr">
        <is>
          <t>Tipo Neon</t>
        </is>
      </c>
      <c r="C4" s="83" t="inlineStr">
        <is>
          <t>Obbligatoria</t>
        </is>
      </c>
      <c r="D4" s="83" t="inlineStr">
        <is>
          <t>Descrizione</t>
        </is>
      </c>
    </row>
    <row r="5">
      <c r="A5" s="84" t="inlineStr">
        <is>
          <t>id</t>
        </is>
      </c>
      <c r="B5" s="84" t="inlineStr">
        <is>
          <t>bigint (identity)</t>
        </is>
      </c>
      <c r="C5" s="84" t="inlineStr">
        <is>
          <t>si</t>
        </is>
      </c>
      <c r="D5" s="84" t="inlineStr">
        <is>
          <t>Chiave primaria tecnica. Univoca solo dentro questa tabella.</t>
        </is>
      </c>
    </row>
    <row r="6">
      <c r="A6" s="84" t="inlineStr">
        <is>
          <t>quiz_id</t>
        </is>
      </c>
      <c r="B6" s="84" t="inlineStr">
        <is>
          <t>bigint FK</t>
        </is>
      </c>
      <c r="C6" s="84" t="inlineStr">
        <is>
          <t>si</t>
        </is>
      </c>
      <c r="D6" s="84" t="inlineStr">
        <is>
          <t>Riferimento a struttura_quiz.id, modalita finale.</t>
        </is>
      </c>
    </row>
    <row r="7">
      <c r="A7" s="84" t="inlineStr">
        <is>
          <t>ordine</t>
        </is>
      </c>
      <c r="B7" s="84" t="inlineStr">
        <is>
          <t>smallint</t>
        </is>
      </c>
      <c r="C7" s="84" t="inlineStr">
        <is>
          <t>si</t>
        </is>
      </c>
      <c r="D7" s="84" t="inlineStr">
        <is>
          <t>Posizione del quesito. UNIQUE con quiz_id.</t>
        </is>
      </c>
    </row>
    <row r="8">
      <c r="A8" s="84" t="inlineStr">
        <is>
          <t>tipo</t>
        </is>
      </c>
      <c r="B8" s="84" t="inlineStr">
        <is>
          <t>varchar(20)</t>
        </is>
      </c>
      <c r="C8" s="84" t="inlineStr">
        <is>
          <t>si</t>
        </is>
      </c>
      <c r="D8" s="84" t="inlineStr">
        <is>
          <t>completamento oppure scelta_multipla.</t>
        </is>
      </c>
    </row>
    <row r="9">
      <c r="A9" s="84" t="inlineStr">
        <is>
          <t>testo</t>
        </is>
      </c>
      <c r="B9" s="84" t="inlineStr">
        <is>
          <t>text</t>
        </is>
      </c>
      <c r="C9" s="84" t="inlineStr">
        <is>
          <t>si</t>
        </is>
      </c>
      <c r="D9" s="84" t="inlineStr">
        <is>
          <t>Testo del quesito mostrato all'utente.</t>
        </is>
      </c>
    </row>
    <row r="10">
      <c r="A10" s="84" t="inlineStr">
        <is>
          <t>opzioni</t>
        </is>
      </c>
      <c r="B10" s="84" t="inlineStr">
        <is>
          <t>jsonb</t>
        </is>
      </c>
      <c r="C10" s="84" t="inlineStr">
        <is>
          <t>si</t>
        </is>
      </c>
      <c r="D10" s="84" t="inlineStr">
        <is>
          <t>Alternative per scelta_multipla; lista vuota per completamento.</t>
        </is>
      </c>
    </row>
    <row r="11">
      <c r="A11" s="84" t="inlineStr">
        <is>
          <t>risposta_corretta</t>
        </is>
      </c>
      <c r="B11" s="84" t="inlineStr">
        <is>
          <t>varchar(300)</t>
        </is>
      </c>
      <c r="C11" s="84" t="inlineStr">
        <is>
          <t>si</t>
        </is>
      </c>
      <c r="D11" s="84" t="inlineStr">
        <is>
          <t>Soluzione. Varianti accettate separate da «|».</t>
        </is>
      </c>
    </row>
    <row r="12">
      <c r="A12" s="84" t="inlineStr">
        <is>
          <t>spiegazione</t>
        </is>
      </c>
      <c r="B12" s="84" t="inlineStr">
        <is>
          <t>text</t>
        </is>
      </c>
      <c r="C12" s="84" t="inlineStr">
        <is>
          <t>si</t>
        </is>
      </c>
      <c r="D12" s="84" t="inlineStr">
        <is>
          <t>Mostrata dopo la verifica. Mai inviata al client prima della risposta.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2026-07-09T14:05:27Z</dcterms:created>
  <dcterms:modified xmlns:dcterms="http://purl.org/dc/terms/" xmlns:xsi="http://www.w3.org/2001/XMLSchema-instance" xsi:type="dcterms:W3CDTF">2026-08-24T18:48:08Z</dcterms:modified>
  <cp:lastModifiedBy>Roberto Calisi</cp:lastModifiedBy>
  <cp:revision>0</cp:revision>
</cp:coreProperties>
</file>